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 worth" sheetId="1" r:id="rId5"/>
  </sheets>
  <definedNames/>
  <calcPr/>
</workbook>
</file>

<file path=xl/sharedStrings.xml><?xml version="1.0" encoding="utf-8"?>
<sst xmlns="http://schemas.openxmlformats.org/spreadsheetml/2006/main" count="83" uniqueCount="66">
  <si>
    <t>in EUR</t>
  </si>
  <si>
    <t>Q1 - Mär.</t>
  </si>
  <si>
    <t>Q2 - Jun.</t>
  </si>
  <si>
    <t>Q3 - Sep.</t>
  </si>
  <si>
    <t>Q4 - Dez.</t>
  </si>
  <si>
    <t>Total net worth / Netto Vermögen</t>
  </si>
  <si>
    <t>Growth</t>
  </si>
  <si>
    <t>Assets / Vermögen</t>
  </si>
  <si>
    <t>Deposits</t>
  </si>
  <si>
    <t xml:space="preserve">  Konto Comdirect - 023</t>
  </si>
  <si>
    <t xml:space="preserve">  Konto Comdirect - 494</t>
  </si>
  <si>
    <t xml:space="preserve">  Konto Comdirect - 401</t>
  </si>
  <si>
    <t xml:space="preserve">  Konto N26</t>
  </si>
  <si>
    <t>3526,43</t>
  </si>
  <si>
    <t xml:space="preserve">  PayPal</t>
  </si>
  <si>
    <t>Financial instruments</t>
  </si>
  <si>
    <t xml:space="preserve">  TradeRep Paul</t>
  </si>
  <si>
    <t xml:space="preserve">  Traderep Kira</t>
  </si>
  <si>
    <t>Real estate</t>
  </si>
  <si>
    <t xml:space="preserve">  Kleve, Huiskampstr. 141</t>
  </si>
  <si>
    <t xml:space="preserve">  </t>
  </si>
  <si>
    <t>Digital assets</t>
  </si>
  <si>
    <t xml:space="preserve">  ETH - Etherum</t>
  </si>
  <si>
    <t xml:space="preserve">  BTC - Bitcoin</t>
  </si>
  <si>
    <t>Objects of value</t>
  </si>
  <si>
    <t>prandible GmbH (100%)</t>
  </si>
  <si>
    <t>Citroen Spacetourer (prandible GmbH)</t>
  </si>
  <si>
    <t>Citroen Cactus</t>
  </si>
  <si>
    <t>VanMoof S3</t>
  </si>
  <si>
    <t>VanMoof X3</t>
  </si>
  <si>
    <t>Husquana Rider</t>
  </si>
  <si>
    <t>Receivables / zus. Cash</t>
  </si>
  <si>
    <t>Baukindergeld (Yrly paid in Sept.)</t>
  </si>
  <si>
    <t>KPS Spesen</t>
  </si>
  <si>
    <t>Liabilities / Verbindlichkeiten</t>
  </si>
  <si>
    <t>Consumer debt</t>
  </si>
  <si>
    <t>CC MasterCard</t>
  </si>
  <si>
    <t>CC AmEx</t>
  </si>
  <si>
    <t>Real estate debt</t>
  </si>
  <si>
    <t>Sparkasse - DE_*6028</t>
  </si>
  <si>
    <t>Sparkasse - DE_*6036</t>
  </si>
  <si>
    <t>Accrued taxes</t>
  </si>
  <si>
    <t>Cashflow</t>
  </si>
  <si>
    <t>Income (net)</t>
  </si>
  <si>
    <t>Full-time job (net)</t>
  </si>
  <si>
    <t>Self-employment (net)</t>
  </si>
  <si>
    <t>Kira Job (net)</t>
  </si>
  <si>
    <t>Airbnb (gross)</t>
  </si>
  <si>
    <t>Taxes</t>
  </si>
  <si>
    <t>Recurring payments</t>
  </si>
  <si>
    <t>Living expenses</t>
  </si>
  <si>
    <t>Rent (QTLY)</t>
  </si>
  <si>
    <t>Utilities (QTLY)</t>
  </si>
  <si>
    <t>Child expensed  (QTLY)</t>
  </si>
  <si>
    <t>Services</t>
  </si>
  <si>
    <t>Fitness center membership (qtly.)</t>
  </si>
  <si>
    <t>Media (Disney+, Prime, Spotify, etc.)</t>
  </si>
  <si>
    <t>Insurance</t>
  </si>
  <si>
    <t>Health insurance (QTLY)</t>
  </si>
  <si>
    <t>Liability insurance (yearly, in Apr)</t>
  </si>
  <si>
    <t>Others</t>
  </si>
  <si>
    <t>Mobile phone (monthly)</t>
  </si>
  <si>
    <t>Banking account fees (monthly)</t>
  </si>
  <si>
    <t>Investments</t>
  </si>
  <si>
    <t>Annuity M12</t>
  </si>
  <si>
    <t>Stock investment plan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</si>
</sst>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\ &quot;€&quot;_-;\-* #,##0\ &quot;€&quot;_-;_-* &quot;-&quot;\ &quot;€&quot;_-;_-@"/>
    <numFmt numFmtId="165" formatCode="0.0%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i/>
      <sz val="11.0"/>
      <color theme="1"/>
      <name val="Calibri"/>
    </font>
    <font>
      <sz val="11.0"/>
      <color rgb="FFB7B7B7"/>
      <name val="Calibri"/>
    </font>
    <font>
      <sz val="11.0"/>
      <color rgb="FF0C343D"/>
      <name val="Calibri"/>
    </font>
    <font>
      <sz val="11.0"/>
      <color rgb="FFCCCCCC"/>
      <name val="Calibri"/>
    </font>
    <font>
      <sz val="11.0"/>
      <color rgb="FF000000"/>
      <name val="Calibri"/>
    </font>
    <font>
      <sz val="11.0"/>
      <color rgb="FFD9D9D9"/>
      <name val="Calibri"/>
    </font>
    <font>
      <u/>
      <sz val="11.0"/>
      <color rgb="FF0000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1E4E79"/>
        <bgColor rgb="FF1E4E7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left" readingOrder="0"/>
    </xf>
    <xf borderId="2" fillId="2" fontId="1" numFmtId="0" xfId="0" applyBorder="1" applyFont="1"/>
    <xf borderId="0" fillId="0" fontId="1" numFmtId="0" xfId="0" applyAlignment="1" applyFont="1">
      <alignment vertical="bottom"/>
    </xf>
    <xf borderId="1" fillId="2" fontId="2" numFmtId="0" xfId="0" applyAlignment="1" applyBorder="1" applyFont="1">
      <alignment readingOrder="0" vertical="bottom"/>
    </xf>
    <xf borderId="2" fillId="2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0" fillId="0" fontId="3" numFmtId="0" xfId="0" applyFont="1"/>
    <xf borderId="3" fillId="2" fontId="1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3" fillId="2" fontId="1" numFmtId="0" xfId="0" applyAlignment="1" applyBorder="1" applyFont="1">
      <alignment vertical="bottom"/>
    </xf>
    <xf borderId="0" fillId="2" fontId="1" numFmtId="0" xfId="0" applyAlignment="1" applyFont="1">
      <alignment vertical="bottom"/>
    </xf>
    <xf borderId="3" fillId="3" fontId="4" numFmtId="0" xfId="0" applyAlignment="1" applyBorder="1" applyFill="1" applyFont="1">
      <alignment readingOrder="0"/>
    </xf>
    <xf borderId="3" fillId="3" fontId="5" numFmtId="164" xfId="0" applyBorder="1" applyFont="1" applyNumberFormat="1"/>
    <xf borderId="0" fillId="0" fontId="1" numFmtId="164" xfId="0" applyAlignment="1" applyFont="1" applyNumberFormat="1">
      <alignment vertical="bottom"/>
    </xf>
    <xf borderId="3" fillId="3" fontId="4" numFmtId="164" xfId="0" applyAlignment="1" applyBorder="1" applyFont="1" applyNumberFormat="1">
      <alignment horizontal="right" vertical="bottom"/>
    </xf>
    <xf borderId="0" fillId="3" fontId="4" numFmtId="164" xfId="0" applyAlignment="1" applyFont="1" applyNumberFormat="1">
      <alignment horizontal="right" vertical="bottom"/>
    </xf>
    <xf borderId="3" fillId="0" fontId="6" numFmtId="0" xfId="0" applyBorder="1" applyFont="1"/>
    <xf borderId="3" fillId="4" fontId="6" numFmtId="165" xfId="0" applyAlignment="1" applyBorder="1" applyFill="1" applyFont="1" applyNumberFormat="1">
      <alignment horizontal="right"/>
    </xf>
    <xf borderId="0" fillId="0" fontId="1" numFmtId="165" xfId="0" applyAlignment="1" applyFont="1" applyNumberFormat="1">
      <alignment vertical="bottom"/>
    </xf>
    <xf borderId="3" fillId="5" fontId="6" numFmtId="165" xfId="0" applyAlignment="1" applyBorder="1" applyFill="1" applyFont="1" applyNumberFormat="1">
      <alignment horizontal="right" vertical="bottom"/>
    </xf>
    <xf borderId="0" fillId="5" fontId="6" numFmtId="165" xfId="0" applyAlignment="1" applyFont="1" applyNumberFormat="1">
      <alignment horizontal="right" vertical="bottom"/>
    </xf>
    <xf borderId="3" fillId="2" fontId="2" numFmtId="0" xfId="0" applyAlignment="1" applyBorder="1" applyFont="1">
      <alignment readingOrder="0"/>
    </xf>
    <xf borderId="3" fillId="2" fontId="2" numFmtId="164" xfId="0" applyBorder="1" applyFont="1" applyNumberFormat="1"/>
    <xf borderId="3" fillId="2" fontId="2" numFmtId="164" xfId="0" applyAlignment="1" applyBorder="1" applyFont="1" applyNumberFormat="1">
      <alignment horizontal="right" vertical="bottom"/>
    </xf>
    <xf borderId="0" fillId="2" fontId="2" numFmtId="164" xfId="0" applyAlignment="1" applyFont="1" applyNumberFormat="1">
      <alignment horizontal="right" vertical="bottom"/>
    </xf>
    <xf borderId="3" fillId="6" fontId="2" numFmtId="0" xfId="0" applyBorder="1" applyFill="1" applyFont="1"/>
    <xf borderId="3" fillId="6" fontId="1" numFmtId="164" xfId="0" applyBorder="1" applyFont="1" applyNumberFormat="1"/>
    <xf borderId="3" fillId="6" fontId="1" numFmtId="164" xfId="0" applyAlignment="1" applyBorder="1" applyFont="1" applyNumberFormat="1">
      <alignment horizontal="right" vertical="bottom"/>
    </xf>
    <xf borderId="0" fillId="6" fontId="1" numFmtId="164" xfId="0" applyAlignment="1" applyFont="1" applyNumberFormat="1">
      <alignment horizontal="right" vertical="bottom"/>
    </xf>
    <xf borderId="3" fillId="0" fontId="1" numFmtId="0" xfId="0" applyAlignment="1" applyBorder="1" applyFont="1">
      <alignment horizontal="left" readingOrder="0"/>
    </xf>
    <xf borderId="3" fillId="0" fontId="1" numFmtId="164" xfId="0" applyAlignment="1" applyBorder="1" applyFont="1" applyNumberFormat="1">
      <alignment readingOrder="0"/>
    </xf>
    <xf borderId="3" fillId="0" fontId="1" numFmtId="164" xfId="0" applyBorder="1" applyFont="1" applyNumberFormat="1"/>
    <xf borderId="3" fillId="0" fontId="1" numFmtId="164" xfId="0" applyAlignment="1" applyBorder="1" applyFont="1" applyNumberFormat="1">
      <alignment horizontal="right" readingOrder="0" vertical="bottom"/>
    </xf>
    <xf borderId="3" fillId="0" fontId="1" numFmtId="164" xfId="0" applyAlignment="1" applyBorder="1" applyFont="1" applyNumberFormat="1">
      <alignment horizontal="right" vertical="bottom"/>
    </xf>
    <xf borderId="3" fillId="0" fontId="1" numFmtId="164" xfId="0" applyAlignment="1" applyBorder="1" applyFont="1" applyNumberForma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3" fillId="0" fontId="7" numFmtId="0" xfId="0" applyAlignment="1" applyBorder="1" applyFont="1">
      <alignment horizontal="left" readingOrder="0"/>
    </xf>
    <xf borderId="0" fillId="0" fontId="1" numFmtId="164" xfId="0" applyAlignment="1" applyFont="1" applyNumberFormat="1">
      <alignment horizontal="right" vertical="bottom"/>
    </xf>
    <xf borderId="3" fillId="0" fontId="8" numFmtId="0" xfId="0" applyAlignment="1" applyBorder="1" applyFont="1">
      <alignment horizontal="left" readingOrder="0"/>
    </xf>
    <xf borderId="3" fillId="6" fontId="2" numFmtId="0" xfId="0" applyAlignment="1" applyBorder="1" applyFont="1">
      <alignment horizontal="left"/>
    </xf>
    <xf borderId="3" fillId="0" fontId="1" numFmtId="164" xfId="0" applyAlignment="1" applyBorder="1" applyFont="1" applyNumberFormat="1">
      <alignment vertical="bottom"/>
    </xf>
    <xf borderId="3" fillId="0" fontId="9" numFmtId="0" xfId="0" applyAlignment="1" applyBorder="1" applyFont="1">
      <alignment horizontal="left" readingOrder="0"/>
    </xf>
    <xf borderId="3" fillId="6" fontId="2" numFmtId="0" xfId="0" applyAlignment="1" applyBorder="1" applyFont="1">
      <alignment readingOrder="0"/>
    </xf>
    <xf borderId="3" fillId="0" fontId="10" numFmtId="0" xfId="0" applyAlignment="1" applyBorder="1" applyFont="1">
      <alignment horizontal="left" readingOrder="0"/>
    </xf>
    <xf borderId="0" fillId="0" fontId="1" numFmtId="3" xfId="0" applyFont="1" applyNumberFormat="1"/>
    <xf borderId="0" fillId="0" fontId="1" numFmtId="3" xfId="0" applyAlignment="1" applyFont="1" applyNumberFormat="1">
      <alignment vertical="bottom"/>
    </xf>
    <xf borderId="3" fillId="6" fontId="1" numFmtId="0" xfId="0" applyBorder="1" applyFont="1"/>
    <xf borderId="3" fillId="0" fontId="11" numFmtId="0" xfId="0" applyAlignment="1" applyBorder="1" applyFont="1">
      <alignment horizontal="left" readingOrder="0"/>
    </xf>
    <xf borderId="3" fillId="0" fontId="11" numFmtId="0" xfId="0" applyAlignment="1" applyBorder="1" applyFont="1">
      <alignment horizontal="left"/>
    </xf>
    <xf borderId="3" fillId="6" fontId="12" numFmtId="0" xfId="0" applyAlignment="1" applyBorder="1" applyFont="1">
      <alignment readingOrder="0"/>
    </xf>
    <xf borderId="3" fillId="5" fontId="1" numFmtId="164" xfId="0" applyAlignment="1" applyBorder="1" applyFont="1" applyNumberFormat="1">
      <alignment readingOrder="0"/>
    </xf>
    <xf borderId="3" fillId="5" fontId="1" numFmtId="164" xfId="0" applyAlignment="1" applyBorder="1" applyFont="1" applyNumberFormat="1">
      <alignment horizontal="right" vertical="bottom"/>
    </xf>
    <xf borderId="0" fillId="5" fontId="1" numFmtId="164" xfId="0" applyAlignment="1" applyFont="1" applyNumberFormat="1">
      <alignment readingOrder="0"/>
    </xf>
    <xf borderId="3" fillId="3" fontId="5" numFmtId="0" xfId="0" applyBorder="1" applyFont="1"/>
    <xf borderId="3" fillId="2" fontId="2" numFmtId="0" xfId="0" applyBorder="1" applyFont="1"/>
    <xf borderId="3" fillId="0" fontId="1" numFmtId="0" xfId="0" applyBorder="1" applyFont="1"/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C4PdkYfYK98kt8_e9YuAWT9sNuBfT6Nk4Ha3x5WYaU/ed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 outlineLevelCol="1" outlineLevelRow="2"/>
  <cols>
    <col customWidth="1" min="1" max="1" width="1.0"/>
    <col customWidth="1" min="2" max="2" width="32.0"/>
    <col customWidth="1" hidden="1" min="3" max="3" width="1.14"/>
    <col customWidth="1" hidden="1" min="4" max="4" width="13.14"/>
    <col customWidth="1" hidden="1" min="5" max="7" width="13.0"/>
    <col customWidth="1" min="8" max="8" width="1.14"/>
    <col customWidth="1" min="9" max="11" width="10.57" outlineLevel="1"/>
    <col customWidth="1" min="12" max="12" width="11.29" outlineLevel="1"/>
    <col customWidth="1" min="13" max="13" width="2.57"/>
    <col customWidth="1" min="14" max="17" width="10.57" outlineLevel="1"/>
    <col customWidth="1" min="18" max="18" width="2.43"/>
    <col customWidth="1" min="19" max="22" width="10.57"/>
    <col customWidth="1" min="23" max="23" width="5.57"/>
    <col customWidth="1" min="24" max="27" width="10.57"/>
  </cols>
  <sheetData>
    <row r="1" ht="6.75" customHeight="1"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D2" s="2">
        <v>2022.0</v>
      </c>
      <c r="E2" s="3"/>
      <c r="F2" s="3"/>
      <c r="G2" s="3"/>
      <c r="I2" s="2">
        <v>2023.0</v>
      </c>
      <c r="J2" s="3"/>
      <c r="K2" s="3"/>
      <c r="L2" s="3"/>
      <c r="N2" s="2">
        <v>2024.0</v>
      </c>
      <c r="O2" s="3"/>
      <c r="P2" s="3"/>
      <c r="Q2" s="3"/>
      <c r="R2" s="4"/>
      <c r="S2" s="5">
        <v>2025.0</v>
      </c>
      <c r="T2" s="6"/>
      <c r="U2" s="6"/>
      <c r="V2" s="6"/>
      <c r="W2" s="7"/>
      <c r="X2" s="5">
        <v>2026.0</v>
      </c>
      <c r="Y2" s="6"/>
      <c r="Z2" s="6"/>
      <c r="AA2" s="6"/>
    </row>
    <row r="3" ht="14.25" customHeight="1">
      <c r="B3" s="8" t="s">
        <v>0</v>
      </c>
      <c r="D3" s="9" t="s">
        <v>1</v>
      </c>
      <c r="E3" s="9" t="s">
        <v>2</v>
      </c>
      <c r="F3" s="9" t="s">
        <v>3</v>
      </c>
      <c r="G3" s="9" t="s">
        <v>4</v>
      </c>
      <c r="I3" s="9" t="s">
        <v>1</v>
      </c>
      <c r="J3" s="9" t="s">
        <v>2</v>
      </c>
      <c r="K3" s="9" t="s">
        <v>3</v>
      </c>
      <c r="L3" s="9" t="s">
        <v>4</v>
      </c>
      <c r="N3" s="9" t="s">
        <v>1</v>
      </c>
      <c r="O3" s="9" t="s">
        <v>2</v>
      </c>
      <c r="P3" s="9" t="s">
        <v>3</v>
      </c>
      <c r="Q3" s="9" t="s">
        <v>4</v>
      </c>
      <c r="R3" s="10"/>
      <c r="S3" s="11" t="s">
        <v>1</v>
      </c>
      <c r="T3" s="11" t="s">
        <v>2</v>
      </c>
      <c r="U3" s="11" t="s">
        <v>3</v>
      </c>
      <c r="V3" s="11" t="s">
        <v>4</v>
      </c>
      <c r="W3" s="12"/>
      <c r="X3" s="11" t="s">
        <v>1</v>
      </c>
      <c r="Y3" s="11" t="s">
        <v>2</v>
      </c>
      <c r="Z3" s="11" t="s">
        <v>3</v>
      </c>
      <c r="AA3" s="11" t="s">
        <v>4</v>
      </c>
    </row>
    <row r="4" ht="6.75" customHeight="1">
      <c r="R4" s="1"/>
      <c r="S4" s="1"/>
      <c r="T4" s="1"/>
      <c r="U4" s="1"/>
      <c r="V4" s="1"/>
      <c r="W4" s="1"/>
      <c r="X4" s="1"/>
      <c r="Y4" s="1"/>
      <c r="Z4" s="1"/>
      <c r="AA4" s="1"/>
    </row>
    <row r="5" ht="14.25" customHeight="1">
      <c r="B5" s="13" t="s">
        <v>5</v>
      </c>
      <c r="D5" s="14" t="str">
        <f t="shared" ref="D5:G5" si="1">D8-D35</f>
        <v>#REF!</v>
      </c>
      <c r="E5" s="14" t="str">
        <f t="shared" si="1"/>
        <v>#REF!</v>
      </c>
      <c r="F5" s="14" t="str">
        <f t="shared" si="1"/>
        <v>#REF!</v>
      </c>
      <c r="G5" s="14" t="str">
        <f t="shared" si="1"/>
        <v>#REF!</v>
      </c>
      <c r="I5" s="14" t="str">
        <f t="shared" ref="I5:L5" si="2">I8-I35</f>
        <v>#REF!</v>
      </c>
      <c r="J5" s="14" t="str">
        <f t="shared" si="2"/>
        <v>#REF!</v>
      </c>
      <c r="K5" s="14" t="str">
        <f t="shared" si="2"/>
        <v>#REF!</v>
      </c>
      <c r="L5" s="14" t="str">
        <f t="shared" si="2"/>
        <v>#REF!</v>
      </c>
      <c r="N5" s="14">
        <f t="shared" ref="N5:Q5" si="3">N8-N35</f>
        <v>328244</v>
      </c>
      <c r="O5" s="14">
        <f t="shared" si="3"/>
        <v>317409</v>
      </c>
      <c r="P5" s="14">
        <f t="shared" si="3"/>
        <v>322300</v>
      </c>
      <c r="Q5" s="14">
        <f t="shared" si="3"/>
        <v>345498.43</v>
      </c>
      <c r="R5" s="15"/>
      <c r="S5" s="16">
        <f t="shared" ref="S5:V5" si="4">S8-S35</f>
        <v>328919.43</v>
      </c>
      <c r="T5" s="16">
        <f t="shared" si="4"/>
        <v>306280</v>
      </c>
      <c r="U5" s="16">
        <f t="shared" si="4"/>
        <v>349688.43</v>
      </c>
      <c r="V5" s="16">
        <f t="shared" si="4"/>
        <v>380068.43</v>
      </c>
      <c r="W5" s="17"/>
      <c r="X5" s="16">
        <f t="shared" ref="X5:AA5" si="5">X8-X35</f>
        <v>184418.43</v>
      </c>
      <c r="Y5" s="16">
        <f t="shared" si="5"/>
        <v>184418.43</v>
      </c>
      <c r="Z5" s="16">
        <f t="shared" si="5"/>
        <v>184418.43</v>
      </c>
      <c r="AA5" s="16">
        <f t="shared" si="5"/>
        <v>184418.43</v>
      </c>
    </row>
    <row r="6" ht="14.25" customHeight="1">
      <c r="B6" s="18" t="s">
        <v>6</v>
      </c>
      <c r="D6" s="19">
        <v>0.0</v>
      </c>
      <c r="E6" s="19">
        <f t="shared" ref="E6:G6" si="6">IFERROR((E5-D5)/D5,0)</f>
        <v>0</v>
      </c>
      <c r="F6" s="19">
        <f t="shared" si="6"/>
        <v>0</v>
      </c>
      <c r="G6" s="19">
        <f t="shared" si="6"/>
        <v>0</v>
      </c>
      <c r="I6" s="19">
        <f>IFERROR((I5-G5)/G5,0)</f>
        <v>0</v>
      </c>
      <c r="J6" s="19">
        <f t="shared" ref="J6:L6" si="7">IFERROR((J5-I5)/I5,0)</f>
        <v>0</v>
      </c>
      <c r="K6" s="19">
        <f t="shared" si="7"/>
        <v>0</v>
      </c>
      <c r="L6" s="19">
        <f t="shared" si="7"/>
        <v>0</v>
      </c>
      <c r="N6" s="19">
        <f>IFERROR((N5-L5)/L5,0)</f>
        <v>0</v>
      </c>
      <c r="O6" s="19">
        <f t="shared" ref="O6:Q6" si="8">IFERROR((O5-N5)/N5,0)</f>
        <v>-0.03300898112</v>
      </c>
      <c r="P6" s="19">
        <f t="shared" si="8"/>
        <v>0.01540914089</v>
      </c>
      <c r="Q6" s="19">
        <f t="shared" si="8"/>
        <v>0.07197775365</v>
      </c>
      <c r="R6" s="20"/>
      <c r="S6" s="21">
        <f>IFERROR((S5-Q5)/Q5,0)</f>
        <v>-0.04798574627</v>
      </c>
      <c r="T6" s="21">
        <f t="shared" ref="T6:V6" si="9">IFERROR((T5-S5)/S5,0)</f>
        <v>-0.0688297131</v>
      </c>
      <c r="U6" s="21">
        <f t="shared" si="9"/>
        <v>0.1417279287</v>
      </c>
      <c r="V6" s="21">
        <f t="shared" si="9"/>
        <v>0.08687733821</v>
      </c>
      <c r="W6" s="22"/>
      <c r="X6" s="21">
        <f>IFERROR((X5-V5)/V5,0)</f>
        <v>-0.5147757208</v>
      </c>
      <c r="Y6" s="21">
        <f t="shared" ref="Y6:AA6" si="10">IFERROR((Y5-X5)/X5,0)</f>
        <v>0</v>
      </c>
      <c r="Z6" s="21">
        <f t="shared" si="10"/>
        <v>0</v>
      </c>
      <c r="AA6" s="21">
        <f t="shared" si="10"/>
        <v>0</v>
      </c>
    </row>
    <row r="7" ht="6.75" customHeight="1">
      <c r="R7" s="1"/>
      <c r="S7" s="1"/>
      <c r="T7" s="1"/>
      <c r="U7" s="1"/>
      <c r="V7" s="1"/>
      <c r="W7" s="1"/>
      <c r="X7" s="1"/>
      <c r="Y7" s="1"/>
      <c r="Z7" s="1"/>
      <c r="AA7" s="1"/>
    </row>
    <row r="8" ht="14.25" customHeight="1">
      <c r="B8" s="23" t="s">
        <v>7</v>
      </c>
      <c r="D8" s="24" t="str">
        <f t="shared" ref="D8:G8" si="11">D9+D15+D18+D21+#REF!+D24+D31</f>
        <v>#REF!</v>
      </c>
      <c r="E8" s="24" t="str">
        <f t="shared" si="11"/>
        <v>#REF!</v>
      </c>
      <c r="F8" s="24" t="str">
        <f t="shared" si="11"/>
        <v>#REF!</v>
      </c>
      <c r="G8" s="24" t="str">
        <f t="shared" si="11"/>
        <v>#REF!</v>
      </c>
      <c r="I8" s="24" t="str">
        <f t="shared" ref="I8:L8" si="12">I9+I15+I18+I21+#REF!+I24+I31</f>
        <v>#REF!</v>
      </c>
      <c r="J8" s="24" t="str">
        <f t="shared" si="12"/>
        <v>#REF!</v>
      </c>
      <c r="K8" s="24" t="str">
        <f t="shared" si="12"/>
        <v>#REF!</v>
      </c>
      <c r="L8" s="24" t="str">
        <f t="shared" si="12"/>
        <v>#REF!</v>
      </c>
      <c r="N8" s="24">
        <f t="shared" ref="N8:Q8" si="13">N9+N15+N18+N21+N24+N31</f>
        <v>493654</v>
      </c>
      <c r="O8" s="24">
        <f t="shared" si="13"/>
        <v>482819</v>
      </c>
      <c r="P8" s="24">
        <f t="shared" si="13"/>
        <v>487710</v>
      </c>
      <c r="Q8" s="24">
        <f t="shared" si="13"/>
        <v>504080</v>
      </c>
      <c r="R8" s="15"/>
      <c r="S8" s="25">
        <f t="shared" ref="S8:V8" si="14">S9+S15+S18+S21+S24+S31</f>
        <v>487501</v>
      </c>
      <c r="T8" s="25">
        <f t="shared" si="14"/>
        <v>310000</v>
      </c>
      <c r="U8" s="25">
        <f t="shared" si="14"/>
        <v>508270</v>
      </c>
      <c r="V8" s="25">
        <f t="shared" si="14"/>
        <v>538650</v>
      </c>
      <c r="W8" s="26"/>
      <c r="X8" s="25">
        <f t="shared" ref="X8:AA8" si="15">X9+X15+X18+X21+X24+X31</f>
        <v>335000</v>
      </c>
      <c r="Y8" s="25">
        <f t="shared" si="15"/>
        <v>335000</v>
      </c>
      <c r="Z8" s="25">
        <f t="shared" si="15"/>
        <v>335000</v>
      </c>
      <c r="AA8" s="25">
        <f t="shared" si="15"/>
        <v>335000</v>
      </c>
    </row>
    <row r="9" ht="14.25" customHeight="1" outlineLevel="1">
      <c r="B9" s="27" t="s">
        <v>8</v>
      </c>
      <c r="D9" s="28">
        <f t="shared" ref="D9:G9" si="16">SUM(D10:D14)</f>
        <v>0</v>
      </c>
      <c r="E9" s="28">
        <f t="shared" si="16"/>
        <v>0</v>
      </c>
      <c r="F9" s="28">
        <f t="shared" si="16"/>
        <v>63927.9</v>
      </c>
      <c r="G9" s="28">
        <f t="shared" si="16"/>
        <v>36217.57</v>
      </c>
      <c r="I9" s="28">
        <f t="shared" ref="I9:L9" si="17">SUM(I10:I14)</f>
        <v>37915</v>
      </c>
      <c r="J9" s="28">
        <f t="shared" si="17"/>
        <v>47915.92</v>
      </c>
      <c r="K9" s="28">
        <f t="shared" si="17"/>
        <v>61972.13</v>
      </c>
      <c r="L9" s="28">
        <f t="shared" si="17"/>
        <v>62130</v>
      </c>
      <c r="N9" s="28">
        <f t="shared" ref="N9:Q9" si="18">SUM(N10:N14)</f>
        <v>115500</v>
      </c>
      <c r="O9" s="28">
        <f t="shared" si="18"/>
        <v>103484</v>
      </c>
      <c r="P9" s="28">
        <f t="shared" si="18"/>
        <v>109475</v>
      </c>
      <c r="Q9" s="28">
        <f t="shared" si="18"/>
        <v>118445</v>
      </c>
      <c r="R9" s="15"/>
      <c r="S9" s="29">
        <f t="shared" ref="S9:V9" si="19">SUM(S10:S14)</f>
        <v>79694</v>
      </c>
      <c r="T9" s="29">
        <f t="shared" si="19"/>
        <v>0</v>
      </c>
      <c r="U9" s="29">
        <f t="shared" si="19"/>
        <v>105670</v>
      </c>
      <c r="V9" s="29">
        <f t="shared" si="19"/>
        <v>119450</v>
      </c>
      <c r="W9" s="30"/>
      <c r="X9" s="29">
        <f t="shared" ref="X9:AA9" si="20">SUM(X10:X14)</f>
        <v>0</v>
      </c>
      <c r="Y9" s="29">
        <f t="shared" si="20"/>
        <v>0</v>
      </c>
      <c r="Z9" s="29">
        <f t="shared" si="20"/>
        <v>0</v>
      </c>
      <c r="AA9" s="29">
        <f t="shared" si="20"/>
        <v>0</v>
      </c>
    </row>
    <row r="10" ht="15.0" customHeight="1" outlineLevel="2">
      <c r="B10" s="31" t="s">
        <v>9</v>
      </c>
      <c r="D10" s="32">
        <v>0.0</v>
      </c>
      <c r="E10" s="32">
        <v>0.0</v>
      </c>
      <c r="F10" s="32">
        <v>4812.85</v>
      </c>
      <c r="G10" s="32">
        <v>1629.0</v>
      </c>
      <c r="I10" s="32">
        <v>1600.0</v>
      </c>
      <c r="J10" s="32">
        <v>3099.0</v>
      </c>
      <c r="K10" s="32">
        <v>3498.56</v>
      </c>
      <c r="L10" s="32">
        <v>4500.0</v>
      </c>
      <c r="N10" s="32">
        <v>5200.0</v>
      </c>
      <c r="O10" s="32">
        <v>1521.0</v>
      </c>
      <c r="P10" s="33"/>
      <c r="Q10" s="32">
        <v>1125.0</v>
      </c>
      <c r="R10" s="15"/>
      <c r="S10" s="34">
        <v>2157.0</v>
      </c>
      <c r="T10" s="35"/>
      <c r="U10" s="36">
        <v>4100.0</v>
      </c>
      <c r="V10" s="34">
        <v>4000.0</v>
      </c>
      <c r="W10" s="37"/>
      <c r="X10" s="34"/>
      <c r="Y10" s="35"/>
      <c r="Z10" s="36"/>
      <c r="AA10" s="34"/>
    </row>
    <row r="11" ht="14.25" hidden="1" customHeight="1" outlineLevel="2">
      <c r="B11" s="38" t="s">
        <v>10</v>
      </c>
      <c r="D11" s="32">
        <v>0.0</v>
      </c>
      <c r="E11" s="32">
        <v>0.0</v>
      </c>
      <c r="F11" s="32">
        <v>2121.67</v>
      </c>
      <c r="G11" s="32">
        <v>1907.57</v>
      </c>
      <c r="I11" s="32">
        <v>1800.0</v>
      </c>
      <c r="J11" s="32">
        <v>1873.27</v>
      </c>
      <c r="K11" s="32">
        <v>1858.57</v>
      </c>
      <c r="L11" s="32">
        <v>0.0</v>
      </c>
      <c r="N11" s="32">
        <v>0.0</v>
      </c>
      <c r="O11" s="32">
        <v>0.0</v>
      </c>
      <c r="P11" s="32">
        <v>0.0</v>
      </c>
      <c r="Q11" s="32">
        <v>0.0</v>
      </c>
      <c r="R11" s="15"/>
      <c r="S11" s="35"/>
      <c r="T11" s="35"/>
      <c r="U11" s="35"/>
      <c r="V11" s="35"/>
      <c r="W11" s="39"/>
      <c r="X11" s="35"/>
      <c r="Y11" s="35"/>
      <c r="Z11" s="35"/>
      <c r="AA11" s="35"/>
    </row>
    <row r="12" ht="14.25" customHeight="1" outlineLevel="2">
      <c r="B12" s="31" t="s">
        <v>11</v>
      </c>
      <c r="D12" s="32"/>
      <c r="E12" s="32"/>
      <c r="F12" s="32">
        <v>56839.37</v>
      </c>
      <c r="G12" s="32">
        <f>1061+31605</f>
        <v>32666</v>
      </c>
      <c r="I12" s="32">
        <v>34000.0</v>
      </c>
      <c r="J12" s="32">
        <v>42064.65</v>
      </c>
      <c r="K12" s="32">
        <v>54553.0</v>
      </c>
      <c r="L12" s="32">
        <v>55300.0</v>
      </c>
      <c r="N12" s="32">
        <v>108000.0</v>
      </c>
      <c r="O12" s="32">
        <v>101282.0</v>
      </c>
      <c r="P12" s="32">
        <v>107205.0</v>
      </c>
      <c r="Q12" s="32">
        <v>115000.0</v>
      </c>
      <c r="R12" s="15"/>
      <c r="S12" s="34">
        <v>74557.0</v>
      </c>
      <c r="T12" s="35"/>
      <c r="U12" s="34">
        <v>100250.0</v>
      </c>
      <c r="V12" s="34">
        <v>112000.0</v>
      </c>
      <c r="W12" s="37"/>
      <c r="X12" s="34"/>
      <c r="Y12" s="35"/>
      <c r="Z12" s="34"/>
      <c r="AA12" s="34"/>
    </row>
    <row r="13" ht="14.25" customHeight="1" outlineLevel="2">
      <c r="B13" s="31" t="s">
        <v>12</v>
      </c>
      <c r="D13" s="32">
        <v>0.0</v>
      </c>
      <c r="E13" s="32">
        <v>0.0</v>
      </c>
      <c r="F13" s="32">
        <v>125.12</v>
      </c>
      <c r="G13" s="32" t="s">
        <v>13</v>
      </c>
      <c r="I13" s="32">
        <v>500.0</v>
      </c>
      <c r="J13" s="32">
        <v>693.0</v>
      </c>
      <c r="K13" s="32">
        <v>1981.0</v>
      </c>
      <c r="L13" s="32">
        <v>2300.0</v>
      </c>
      <c r="N13" s="32">
        <v>2300.0</v>
      </c>
      <c r="O13" s="32">
        <v>681.0</v>
      </c>
      <c r="P13" s="32">
        <v>345.0</v>
      </c>
      <c r="Q13" s="32">
        <v>1650.0</v>
      </c>
      <c r="R13" s="15"/>
      <c r="S13" s="34">
        <v>1853.0</v>
      </c>
      <c r="T13" s="35"/>
      <c r="U13" s="34">
        <v>1000.0</v>
      </c>
      <c r="V13" s="34">
        <v>2300.0</v>
      </c>
      <c r="W13" s="37"/>
      <c r="X13" s="34"/>
      <c r="Y13" s="35"/>
      <c r="Z13" s="34"/>
      <c r="AA13" s="34"/>
    </row>
    <row r="14" ht="14.25" customHeight="1" outlineLevel="2">
      <c r="B14" s="31" t="s">
        <v>14</v>
      </c>
      <c r="D14" s="33"/>
      <c r="E14" s="33"/>
      <c r="F14" s="32">
        <v>28.89</v>
      </c>
      <c r="G14" s="32">
        <v>15.0</v>
      </c>
      <c r="I14" s="32">
        <v>15.0</v>
      </c>
      <c r="J14" s="32">
        <v>186.0</v>
      </c>
      <c r="K14" s="32">
        <v>81.0</v>
      </c>
      <c r="L14" s="32">
        <v>30.0</v>
      </c>
      <c r="N14" s="32">
        <v>0.0</v>
      </c>
      <c r="O14" s="32">
        <v>0.0</v>
      </c>
      <c r="P14" s="32">
        <v>1925.0</v>
      </c>
      <c r="Q14" s="32">
        <v>670.0</v>
      </c>
      <c r="R14" s="15"/>
      <c r="S14" s="34">
        <v>1127.0</v>
      </c>
      <c r="T14" s="35"/>
      <c r="U14" s="34">
        <v>320.0</v>
      </c>
      <c r="V14" s="34">
        <v>1150.0</v>
      </c>
      <c r="W14" s="37"/>
      <c r="X14" s="34"/>
      <c r="Y14" s="35"/>
      <c r="Z14" s="34"/>
      <c r="AA14" s="34"/>
    </row>
    <row r="15" ht="14.25" customHeight="1" outlineLevel="1">
      <c r="B15" s="27" t="s">
        <v>15</v>
      </c>
      <c r="D15" s="28">
        <f t="shared" ref="D15:G15" si="21">SUM(D16:D17)</f>
        <v>0</v>
      </c>
      <c r="E15" s="28">
        <f t="shared" si="21"/>
        <v>0</v>
      </c>
      <c r="F15" s="28">
        <f t="shared" si="21"/>
        <v>935.12</v>
      </c>
      <c r="G15" s="28">
        <f t="shared" si="21"/>
        <v>3456</v>
      </c>
      <c r="I15" s="28">
        <f t="shared" ref="I15:L15" si="22">SUM(I16:I17)</f>
        <v>6000</v>
      </c>
      <c r="J15" s="28">
        <f t="shared" si="22"/>
        <v>10233</v>
      </c>
      <c r="K15" s="28">
        <f t="shared" si="22"/>
        <v>9292</v>
      </c>
      <c r="L15" s="28">
        <f t="shared" si="22"/>
        <v>29350</v>
      </c>
      <c r="N15" s="28">
        <f t="shared" ref="N15:Q15" si="23">SUM(N16:N17)</f>
        <v>30160</v>
      </c>
      <c r="O15" s="28">
        <f t="shared" si="23"/>
        <v>33800</v>
      </c>
      <c r="P15" s="28">
        <f t="shared" si="23"/>
        <v>32700</v>
      </c>
      <c r="Q15" s="28">
        <f t="shared" si="23"/>
        <v>40000</v>
      </c>
      <c r="R15" s="15"/>
      <c r="S15" s="29">
        <f t="shared" ref="S15:V15" si="24">SUM(S16:S17)</f>
        <v>73238</v>
      </c>
      <c r="T15" s="29">
        <f t="shared" si="24"/>
        <v>0</v>
      </c>
      <c r="U15" s="29">
        <f t="shared" si="24"/>
        <v>58400</v>
      </c>
      <c r="V15" s="29">
        <f t="shared" si="24"/>
        <v>60000</v>
      </c>
      <c r="W15" s="30"/>
      <c r="X15" s="29">
        <f t="shared" ref="X15:AA15" si="25">SUM(X16:X17)</f>
        <v>0</v>
      </c>
      <c r="Y15" s="29">
        <f t="shared" si="25"/>
        <v>0</v>
      </c>
      <c r="Z15" s="29">
        <f t="shared" si="25"/>
        <v>0</v>
      </c>
      <c r="AA15" s="29">
        <f t="shared" si="25"/>
        <v>0</v>
      </c>
    </row>
    <row r="16" ht="14.25" customHeight="1" outlineLevel="2">
      <c r="B16" s="31" t="s">
        <v>16</v>
      </c>
      <c r="D16" s="32">
        <v>0.0</v>
      </c>
      <c r="E16" s="32">
        <v>0.0</v>
      </c>
      <c r="F16" s="32">
        <v>935.12</v>
      </c>
      <c r="G16" s="32">
        <v>3456.0</v>
      </c>
      <c r="I16" s="32">
        <v>6000.0</v>
      </c>
      <c r="J16" s="32">
        <v>10233.0</v>
      </c>
      <c r="K16" s="32">
        <v>9292.0</v>
      </c>
      <c r="L16" s="32">
        <v>19850.0</v>
      </c>
      <c r="N16" s="32">
        <v>20500.0</v>
      </c>
      <c r="O16" s="32">
        <v>24000.0</v>
      </c>
      <c r="P16" s="32">
        <v>22800.0</v>
      </c>
      <c r="Q16" s="32">
        <v>30000.0</v>
      </c>
      <c r="R16" s="15"/>
      <c r="S16" s="34">
        <v>38238.0</v>
      </c>
      <c r="T16" s="35"/>
      <c r="U16" s="34">
        <v>22400.0</v>
      </c>
      <c r="V16" s="34">
        <v>23000.0</v>
      </c>
      <c r="W16" s="37"/>
      <c r="X16" s="34"/>
      <c r="Y16" s="35"/>
      <c r="Z16" s="34"/>
      <c r="AA16" s="34"/>
    </row>
    <row r="17" ht="14.25" customHeight="1" outlineLevel="2">
      <c r="B17" s="40" t="s">
        <v>17</v>
      </c>
      <c r="D17" s="32"/>
      <c r="E17" s="32"/>
      <c r="F17" s="32"/>
      <c r="G17" s="32"/>
      <c r="I17" s="33"/>
      <c r="J17" s="33"/>
      <c r="K17" s="33"/>
      <c r="L17" s="32">
        <v>9500.0</v>
      </c>
      <c r="N17" s="32">
        <v>9660.0</v>
      </c>
      <c r="O17" s="32">
        <v>9800.0</v>
      </c>
      <c r="P17" s="32">
        <v>9900.0</v>
      </c>
      <c r="Q17" s="32">
        <v>10000.0</v>
      </c>
      <c r="R17" s="15"/>
      <c r="S17" s="34">
        <v>35000.0</v>
      </c>
      <c r="T17" s="35"/>
      <c r="U17" s="34">
        <v>36000.0</v>
      </c>
      <c r="V17" s="34">
        <v>37000.0</v>
      </c>
      <c r="W17" s="37"/>
      <c r="X17" s="34"/>
      <c r="Y17" s="35"/>
      <c r="Z17" s="34"/>
      <c r="AA17" s="34"/>
    </row>
    <row r="18" ht="14.25" customHeight="1" outlineLevel="1">
      <c r="B18" s="41" t="s">
        <v>18</v>
      </c>
      <c r="D18" s="28">
        <f t="shared" ref="D18:G18" si="26">SUM(D19:D20)</f>
        <v>300000</v>
      </c>
      <c r="E18" s="28">
        <f t="shared" si="26"/>
        <v>300000</v>
      </c>
      <c r="F18" s="28">
        <f t="shared" si="26"/>
        <v>300000</v>
      </c>
      <c r="G18" s="28">
        <f t="shared" si="26"/>
        <v>300000</v>
      </c>
      <c r="I18" s="28">
        <f t="shared" ref="I18:L18" si="27">SUM(I19:I20)</f>
        <v>300000</v>
      </c>
      <c r="J18" s="28">
        <f t="shared" si="27"/>
        <v>300000</v>
      </c>
      <c r="K18" s="28">
        <f t="shared" si="27"/>
        <v>300000</v>
      </c>
      <c r="L18" s="28">
        <f t="shared" si="27"/>
        <v>300000</v>
      </c>
      <c r="N18" s="28">
        <f t="shared" ref="N18:Q18" si="28">SUM(N19:N20)</f>
        <v>300000</v>
      </c>
      <c r="O18" s="28">
        <f t="shared" si="28"/>
        <v>310000</v>
      </c>
      <c r="P18" s="28">
        <f t="shared" si="28"/>
        <v>310000</v>
      </c>
      <c r="Q18" s="28">
        <f t="shared" si="28"/>
        <v>310000</v>
      </c>
      <c r="R18" s="15"/>
      <c r="S18" s="29">
        <f t="shared" ref="S18:V18" si="29">SUM(S19:S20)</f>
        <v>300000</v>
      </c>
      <c r="T18" s="29">
        <f t="shared" si="29"/>
        <v>310000</v>
      </c>
      <c r="U18" s="29">
        <f t="shared" si="29"/>
        <v>310000</v>
      </c>
      <c r="V18" s="29">
        <f t="shared" si="29"/>
        <v>325000</v>
      </c>
      <c r="W18" s="30"/>
      <c r="X18" s="29">
        <f t="shared" ref="X18:AA18" si="30">SUM(X19:X20)</f>
        <v>335000</v>
      </c>
      <c r="Y18" s="29">
        <f t="shared" si="30"/>
        <v>335000</v>
      </c>
      <c r="Z18" s="29">
        <f t="shared" si="30"/>
        <v>335000</v>
      </c>
      <c r="AA18" s="29">
        <f t="shared" si="30"/>
        <v>335000</v>
      </c>
    </row>
    <row r="19" ht="14.25" customHeight="1" outlineLevel="2">
      <c r="B19" s="31" t="s">
        <v>19</v>
      </c>
      <c r="D19" s="32">
        <v>300000.0</v>
      </c>
      <c r="E19" s="32">
        <v>300000.0</v>
      </c>
      <c r="F19" s="32">
        <v>300000.0</v>
      </c>
      <c r="G19" s="32">
        <v>300000.0</v>
      </c>
      <c r="I19" s="32">
        <v>300000.0</v>
      </c>
      <c r="J19" s="32">
        <v>300000.0</v>
      </c>
      <c r="K19" s="32">
        <v>300000.0</v>
      </c>
      <c r="L19" s="32">
        <v>300000.0</v>
      </c>
      <c r="N19" s="32">
        <v>300000.0</v>
      </c>
      <c r="O19" s="32">
        <v>310000.0</v>
      </c>
      <c r="P19" s="32">
        <v>310000.0</v>
      </c>
      <c r="Q19" s="32">
        <v>310000.0</v>
      </c>
      <c r="R19" s="15"/>
      <c r="S19" s="35">
        <v>300000.0</v>
      </c>
      <c r="T19" s="35">
        <v>310000.0</v>
      </c>
      <c r="U19" s="35">
        <v>310000.0</v>
      </c>
      <c r="V19" s="34">
        <v>325000.0</v>
      </c>
      <c r="W19" s="37"/>
      <c r="X19" s="34">
        <v>335000.0</v>
      </c>
      <c r="Y19" s="34">
        <v>335000.0</v>
      </c>
      <c r="Z19" s="34">
        <v>335000.0</v>
      </c>
      <c r="AA19" s="34">
        <v>335000.0</v>
      </c>
    </row>
    <row r="20" ht="14.25" customHeight="1" outlineLevel="2">
      <c r="B20" s="31" t="s">
        <v>20</v>
      </c>
      <c r="D20" s="33"/>
      <c r="E20" s="33"/>
      <c r="F20" s="33"/>
      <c r="G20" s="33"/>
      <c r="I20" s="33"/>
      <c r="J20" s="33"/>
      <c r="K20" s="33"/>
      <c r="L20" s="33"/>
      <c r="N20" s="33"/>
      <c r="O20" s="33"/>
      <c r="P20" s="33"/>
      <c r="Q20" s="33"/>
      <c r="R20" s="15"/>
      <c r="S20" s="42"/>
      <c r="T20" s="42"/>
      <c r="U20" s="42"/>
      <c r="V20" s="42"/>
      <c r="W20" s="15"/>
      <c r="X20" s="42"/>
      <c r="Y20" s="42"/>
      <c r="Z20" s="42"/>
      <c r="AA20" s="42"/>
    </row>
    <row r="21" ht="14.25" customHeight="1" outlineLevel="1">
      <c r="B21" s="41" t="s">
        <v>21</v>
      </c>
      <c r="D21" s="28">
        <f t="shared" ref="D21:G21" si="31">SUM(D22:D23)</f>
        <v>0</v>
      </c>
      <c r="E21" s="28">
        <f t="shared" si="31"/>
        <v>0</v>
      </c>
      <c r="F21" s="28">
        <f t="shared" si="31"/>
        <v>106.51</v>
      </c>
      <c r="G21" s="28">
        <f t="shared" si="31"/>
        <v>111.49</v>
      </c>
      <c r="I21" s="28">
        <f t="shared" ref="I21:L21" si="32">SUM(I22:I23)</f>
        <v>111</v>
      </c>
      <c r="J21" s="28">
        <f t="shared" si="32"/>
        <v>129</v>
      </c>
      <c r="K21" s="28">
        <f t="shared" si="32"/>
        <v>123</v>
      </c>
      <c r="L21" s="28">
        <f t="shared" si="32"/>
        <v>194</v>
      </c>
      <c r="N21" s="28">
        <f t="shared" ref="N21:Q21" si="33">SUM(N22:N23)</f>
        <v>194</v>
      </c>
      <c r="O21" s="28">
        <f t="shared" si="33"/>
        <v>235</v>
      </c>
      <c r="P21" s="28">
        <f t="shared" si="33"/>
        <v>235</v>
      </c>
      <c r="Q21" s="28">
        <f t="shared" si="33"/>
        <v>235</v>
      </c>
      <c r="R21" s="15"/>
      <c r="S21" s="29">
        <f t="shared" ref="S21:V21" si="34">SUM(S22:S23)</f>
        <v>169</v>
      </c>
      <c r="T21" s="29">
        <f t="shared" si="34"/>
        <v>0</v>
      </c>
      <c r="U21" s="29">
        <f t="shared" si="34"/>
        <v>0</v>
      </c>
      <c r="V21" s="29">
        <f t="shared" si="34"/>
        <v>0</v>
      </c>
      <c r="W21" s="30"/>
      <c r="X21" s="29">
        <f t="shared" ref="X21:AA21" si="35">SUM(X22:X23)</f>
        <v>0</v>
      </c>
      <c r="Y21" s="29">
        <f t="shared" si="35"/>
        <v>0</v>
      </c>
      <c r="Z21" s="29">
        <f t="shared" si="35"/>
        <v>0</v>
      </c>
      <c r="AA21" s="29">
        <f t="shared" si="35"/>
        <v>0</v>
      </c>
    </row>
    <row r="22" ht="14.25" customHeight="1" outlineLevel="2">
      <c r="B22" s="31" t="s">
        <v>22</v>
      </c>
      <c r="D22" s="32">
        <v>0.0</v>
      </c>
      <c r="E22" s="32">
        <v>0.0</v>
      </c>
      <c r="F22" s="32">
        <v>96.28</v>
      </c>
      <c r="G22" s="32">
        <v>100.21</v>
      </c>
      <c r="I22" s="32">
        <v>100.0</v>
      </c>
      <c r="J22" s="32">
        <v>115.0</v>
      </c>
      <c r="K22" s="32">
        <v>110.0</v>
      </c>
      <c r="L22" s="32">
        <v>174.0</v>
      </c>
      <c r="N22" s="32">
        <v>174.0</v>
      </c>
      <c r="O22" s="32">
        <v>200.0</v>
      </c>
      <c r="P22" s="32">
        <v>200.0</v>
      </c>
      <c r="Q22" s="32">
        <v>200.0</v>
      </c>
      <c r="R22" s="15"/>
      <c r="S22" s="34">
        <v>118.0</v>
      </c>
      <c r="T22" s="35"/>
      <c r="U22" s="35"/>
      <c r="V22" s="35"/>
      <c r="W22" s="39"/>
      <c r="X22" s="34"/>
      <c r="Y22" s="35"/>
      <c r="Z22" s="35"/>
      <c r="AA22" s="35"/>
    </row>
    <row r="23" ht="14.25" customHeight="1" outlineLevel="2">
      <c r="B23" s="31" t="s">
        <v>23</v>
      </c>
      <c r="D23" s="32">
        <v>0.0</v>
      </c>
      <c r="E23" s="32">
        <v>0.0</v>
      </c>
      <c r="F23" s="32">
        <v>10.23</v>
      </c>
      <c r="G23" s="32">
        <v>11.28</v>
      </c>
      <c r="I23" s="32">
        <v>11.0</v>
      </c>
      <c r="J23" s="32">
        <v>14.0</v>
      </c>
      <c r="K23" s="32">
        <v>13.0</v>
      </c>
      <c r="L23" s="32">
        <v>20.0</v>
      </c>
      <c r="N23" s="32">
        <v>20.0</v>
      </c>
      <c r="O23" s="32">
        <v>35.0</v>
      </c>
      <c r="P23" s="32">
        <v>35.0</v>
      </c>
      <c r="Q23" s="32">
        <v>35.0</v>
      </c>
      <c r="R23" s="15"/>
      <c r="S23" s="34">
        <v>51.0</v>
      </c>
      <c r="T23" s="35"/>
      <c r="U23" s="35"/>
      <c r="V23" s="35"/>
      <c r="W23" s="39"/>
      <c r="X23" s="34"/>
      <c r="Y23" s="35"/>
      <c r="Z23" s="35"/>
      <c r="AA23" s="35"/>
    </row>
    <row r="24" ht="14.25" customHeight="1" outlineLevel="1">
      <c r="B24" s="27" t="s">
        <v>24</v>
      </c>
      <c r="D24" s="28">
        <f t="shared" ref="D24:G24" si="36">SUM(D25:D30)</f>
        <v>36000</v>
      </c>
      <c r="E24" s="28">
        <f t="shared" si="36"/>
        <v>36000</v>
      </c>
      <c r="F24" s="28">
        <f t="shared" si="36"/>
        <v>36000</v>
      </c>
      <c r="G24" s="28">
        <f t="shared" si="36"/>
        <v>70000</v>
      </c>
      <c r="I24" s="28">
        <f t="shared" ref="I24:L24" si="37">SUM(I25:I30)</f>
        <v>99000</v>
      </c>
      <c r="J24" s="28">
        <f t="shared" si="37"/>
        <v>98000</v>
      </c>
      <c r="K24" s="28">
        <f t="shared" si="37"/>
        <v>102000</v>
      </c>
      <c r="L24" s="28">
        <f t="shared" si="37"/>
        <v>87000</v>
      </c>
      <c r="N24" s="28">
        <f t="shared" ref="N24:Q24" si="38">SUM(N25:N30)</f>
        <v>44000</v>
      </c>
      <c r="O24" s="28">
        <f t="shared" si="38"/>
        <v>33000</v>
      </c>
      <c r="P24" s="28">
        <f t="shared" si="38"/>
        <v>33000</v>
      </c>
      <c r="Q24" s="28">
        <f t="shared" si="38"/>
        <v>32100</v>
      </c>
      <c r="R24" s="15"/>
      <c r="S24" s="29">
        <f t="shared" ref="S24:V24" si="39">SUM(S25:S30)</f>
        <v>32100</v>
      </c>
      <c r="T24" s="29">
        <f t="shared" si="39"/>
        <v>0</v>
      </c>
      <c r="U24" s="29">
        <f t="shared" si="39"/>
        <v>32400</v>
      </c>
      <c r="V24" s="29">
        <f t="shared" si="39"/>
        <v>32400</v>
      </c>
      <c r="W24" s="30"/>
      <c r="X24" s="29">
        <f t="shared" ref="X24:AA24" si="40">SUM(X25:X30)</f>
        <v>0</v>
      </c>
      <c r="Y24" s="29">
        <f t="shared" si="40"/>
        <v>0</v>
      </c>
      <c r="Z24" s="29">
        <f t="shared" si="40"/>
        <v>0</v>
      </c>
      <c r="AA24" s="29">
        <f t="shared" si="40"/>
        <v>0</v>
      </c>
    </row>
    <row r="25" ht="14.25" hidden="1" customHeight="1" outlineLevel="2">
      <c r="B25" s="38" t="s">
        <v>25</v>
      </c>
      <c r="D25" s="32">
        <v>25000.0</v>
      </c>
      <c r="E25" s="32">
        <v>25000.0</v>
      </c>
      <c r="F25" s="32">
        <v>25000.0</v>
      </c>
      <c r="G25" s="32">
        <v>30000.0</v>
      </c>
      <c r="I25" s="32">
        <v>60000.0</v>
      </c>
      <c r="J25" s="32">
        <v>60000.0</v>
      </c>
      <c r="K25" s="32">
        <v>65000.0</v>
      </c>
      <c r="L25" s="32">
        <v>50000.0</v>
      </c>
      <c r="N25" s="32">
        <v>0.0</v>
      </c>
      <c r="O25" s="32">
        <v>0.0</v>
      </c>
      <c r="P25" s="32">
        <v>0.0</v>
      </c>
      <c r="Q25" s="32">
        <v>0.0</v>
      </c>
      <c r="R25" s="15"/>
      <c r="S25" s="35">
        <v>0.0</v>
      </c>
      <c r="T25" s="35">
        <v>0.0</v>
      </c>
      <c r="U25" s="35">
        <v>0.0</v>
      </c>
      <c r="V25" s="35">
        <v>0.0</v>
      </c>
      <c r="W25" s="39"/>
      <c r="X25" s="35">
        <v>0.0</v>
      </c>
      <c r="Y25" s="35">
        <v>0.0</v>
      </c>
      <c r="Z25" s="35">
        <v>0.0</v>
      </c>
      <c r="AA25" s="35">
        <v>0.0</v>
      </c>
    </row>
    <row r="26" ht="14.25" customHeight="1" outlineLevel="2">
      <c r="B26" s="31" t="s">
        <v>26</v>
      </c>
      <c r="D26" s="32"/>
      <c r="E26" s="32"/>
      <c r="F26" s="32"/>
      <c r="G26" s="32">
        <v>36000.0</v>
      </c>
      <c r="I26" s="32">
        <v>35000.0</v>
      </c>
      <c r="J26" s="32">
        <v>34000.0</v>
      </c>
      <c r="K26" s="32">
        <v>33000.0</v>
      </c>
      <c r="L26" s="32">
        <v>33000.0</v>
      </c>
      <c r="N26" s="32">
        <v>40000.0</v>
      </c>
      <c r="O26" s="32">
        <v>30000.0</v>
      </c>
      <c r="P26" s="32">
        <v>30000.0</v>
      </c>
      <c r="Q26" s="32">
        <v>30000.0</v>
      </c>
      <c r="R26" s="15"/>
      <c r="S26" s="34">
        <v>30000.0</v>
      </c>
      <c r="T26" s="35"/>
      <c r="U26" s="34">
        <v>30000.0</v>
      </c>
      <c r="V26" s="34">
        <v>30000.0</v>
      </c>
      <c r="W26" s="37"/>
      <c r="X26" s="34"/>
      <c r="Y26" s="35"/>
      <c r="Z26" s="34"/>
      <c r="AA26" s="34"/>
    </row>
    <row r="27" ht="14.25" hidden="1" customHeight="1" outlineLevel="2">
      <c r="B27" s="43" t="s">
        <v>27</v>
      </c>
      <c r="D27" s="32">
        <v>7000.0</v>
      </c>
      <c r="E27" s="32">
        <v>7000.0</v>
      </c>
      <c r="F27" s="32">
        <v>7000.0</v>
      </c>
      <c r="G27" s="32">
        <v>0.0</v>
      </c>
      <c r="I27" s="32">
        <v>0.0</v>
      </c>
      <c r="J27" s="32">
        <v>0.0</v>
      </c>
      <c r="K27" s="32">
        <v>0.0</v>
      </c>
      <c r="L27" s="32">
        <v>0.0</v>
      </c>
      <c r="N27" s="32">
        <v>0.0</v>
      </c>
      <c r="O27" s="32">
        <v>0.0</v>
      </c>
      <c r="P27" s="32">
        <v>0.0</v>
      </c>
      <c r="Q27" s="32">
        <v>0.0</v>
      </c>
      <c r="R27" s="15"/>
      <c r="S27" s="35"/>
      <c r="T27" s="35"/>
      <c r="U27" s="35"/>
      <c r="V27" s="35"/>
      <c r="W27" s="39"/>
      <c r="X27" s="35"/>
      <c r="Y27" s="35"/>
      <c r="Z27" s="35"/>
      <c r="AA27" s="35"/>
    </row>
    <row r="28" ht="14.25" customHeight="1" outlineLevel="2">
      <c r="B28" s="31" t="s">
        <v>28</v>
      </c>
      <c r="D28" s="32">
        <v>1000.0</v>
      </c>
      <c r="E28" s="32">
        <v>1000.0</v>
      </c>
      <c r="F28" s="32">
        <v>1000.0</v>
      </c>
      <c r="G28" s="32">
        <v>1000.0</v>
      </c>
      <c r="I28" s="32">
        <v>1000.0</v>
      </c>
      <c r="J28" s="32">
        <v>1000.0</v>
      </c>
      <c r="K28" s="32">
        <v>1000.0</v>
      </c>
      <c r="L28" s="32">
        <v>1000.0</v>
      </c>
      <c r="N28" s="32">
        <v>1000.0</v>
      </c>
      <c r="O28" s="32">
        <v>500.0</v>
      </c>
      <c r="P28" s="32">
        <v>500.0</v>
      </c>
      <c r="Q28" s="32">
        <v>50.0</v>
      </c>
      <c r="R28" s="15"/>
      <c r="S28" s="32">
        <v>50.0</v>
      </c>
      <c r="T28" s="35"/>
      <c r="U28" s="34">
        <v>200.0</v>
      </c>
      <c r="V28" s="34">
        <v>200.0</v>
      </c>
      <c r="W28" s="37"/>
      <c r="X28" s="32"/>
      <c r="Y28" s="35"/>
      <c r="Z28" s="34"/>
      <c r="AA28" s="34"/>
    </row>
    <row r="29" ht="14.25" customHeight="1" outlineLevel="2">
      <c r="B29" s="31" t="s">
        <v>29</v>
      </c>
      <c r="D29" s="32">
        <v>1000.0</v>
      </c>
      <c r="E29" s="32">
        <v>1000.0</v>
      </c>
      <c r="F29" s="32">
        <v>1000.0</v>
      </c>
      <c r="G29" s="32">
        <v>1000.0</v>
      </c>
      <c r="I29" s="32">
        <v>1000.0</v>
      </c>
      <c r="J29" s="32">
        <v>1000.0</v>
      </c>
      <c r="K29" s="32">
        <v>1000.0</v>
      </c>
      <c r="L29" s="32">
        <v>1000.0</v>
      </c>
      <c r="N29" s="32">
        <v>1000.0</v>
      </c>
      <c r="O29" s="32">
        <v>500.0</v>
      </c>
      <c r="P29" s="32">
        <v>500.0</v>
      </c>
      <c r="Q29" s="32">
        <v>50.0</v>
      </c>
      <c r="R29" s="15"/>
      <c r="S29" s="32">
        <v>50.0</v>
      </c>
      <c r="T29" s="35"/>
      <c r="U29" s="34">
        <v>200.0</v>
      </c>
      <c r="V29" s="34">
        <v>200.0</v>
      </c>
      <c r="W29" s="37"/>
      <c r="X29" s="32"/>
      <c r="Y29" s="35"/>
      <c r="Z29" s="34"/>
      <c r="AA29" s="34"/>
    </row>
    <row r="30" ht="14.25" customHeight="1" outlineLevel="2">
      <c r="B30" s="31" t="s">
        <v>30</v>
      </c>
      <c r="D30" s="32">
        <v>2000.0</v>
      </c>
      <c r="E30" s="32">
        <v>2000.0</v>
      </c>
      <c r="F30" s="32">
        <v>2000.0</v>
      </c>
      <c r="G30" s="32">
        <v>2000.0</v>
      </c>
      <c r="I30" s="32">
        <v>2000.0</v>
      </c>
      <c r="J30" s="32">
        <v>2000.0</v>
      </c>
      <c r="K30" s="32">
        <v>2000.0</v>
      </c>
      <c r="L30" s="32">
        <v>2000.0</v>
      </c>
      <c r="N30" s="32">
        <v>2000.0</v>
      </c>
      <c r="O30" s="32">
        <v>2000.0</v>
      </c>
      <c r="P30" s="32">
        <v>2000.0</v>
      </c>
      <c r="Q30" s="32">
        <v>2000.0</v>
      </c>
      <c r="R30" s="15"/>
      <c r="S30" s="32">
        <v>2000.0</v>
      </c>
      <c r="T30" s="35"/>
      <c r="U30" s="34">
        <v>2000.0</v>
      </c>
      <c r="V30" s="34">
        <v>2000.0</v>
      </c>
      <c r="W30" s="37"/>
      <c r="X30" s="32"/>
      <c r="Y30" s="35"/>
      <c r="Z30" s="34"/>
      <c r="AA30" s="34"/>
    </row>
    <row r="31" ht="14.25" customHeight="1" outlineLevel="1">
      <c r="B31" s="44" t="s">
        <v>31</v>
      </c>
      <c r="D31" s="28">
        <f t="shared" ref="D31:G31" si="41">SUM(D32:D33)</f>
        <v>300</v>
      </c>
      <c r="E31" s="28">
        <f t="shared" si="41"/>
        <v>300</v>
      </c>
      <c r="F31" s="28">
        <f t="shared" si="41"/>
        <v>2300</v>
      </c>
      <c r="G31" s="28">
        <f t="shared" si="41"/>
        <v>900</v>
      </c>
      <c r="I31" s="28">
        <f t="shared" ref="I31:L31" si="42">SUM(I32:I33)</f>
        <v>300</v>
      </c>
      <c r="J31" s="28">
        <f t="shared" si="42"/>
        <v>1800</v>
      </c>
      <c r="K31" s="28">
        <f t="shared" si="42"/>
        <v>500</v>
      </c>
      <c r="L31" s="28">
        <f t="shared" si="42"/>
        <v>4300</v>
      </c>
      <c r="N31" s="28">
        <f t="shared" ref="N31:Q31" si="43">SUM(N32:N33)</f>
        <v>3800</v>
      </c>
      <c r="O31" s="28">
        <f t="shared" si="43"/>
        <v>2300</v>
      </c>
      <c r="P31" s="28">
        <f t="shared" si="43"/>
        <v>2300</v>
      </c>
      <c r="Q31" s="28">
        <f t="shared" si="43"/>
        <v>3300</v>
      </c>
      <c r="R31" s="15"/>
      <c r="S31" s="29">
        <f t="shared" ref="S31:V31" si="44">SUM(S32:S33)</f>
        <v>2300</v>
      </c>
      <c r="T31" s="29">
        <f t="shared" si="44"/>
        <v>0</v>
      </c>
      <c r="U31" s="29">
        <f t="shared" si="44"/>
        <v>1800</v>
      </c>
      <c r="V31" s="29">
        <f t="shared" si="44"/>
        <v>1800</v>
      </c>
      <c r="W31" s="30"/>
      <c r="X31" s="29">
        <f t="shared" ref="X31:AA31" si="45">SUM(X32:X33)</f>
        <v>0</v>
      </c>
      <c r="Y31" s="29">
        <f t="shared" si="45"/>
        <v>0</v>
      </c>
      <c r="Z31" s="29">
        <f t="shared" si="45"/>
        <v>0</v>
      </c>
      <c r="AA31" s="29">
        <f t="shared" si="45"/>
        <v>0</v>
      </c>
    </row>
    <row r="32" ht="14.25" customHeight="1" outlineLevel="2">
      <c r="B32" s="45" t="s">
        <v>32</v>
      </c>
      <c r="D32" s="32">
        <v>300.0</v>
      </c>
      <c r="E32" s="32">
        <v>300.0</v>
      </c>
      <c r="F32" s="32">
        <v>300.0</v>
      </c>
      <c r="G32" s="32">
        <v>300.0</v>
      </c>
      <c r="I32" s="32">
        <v>300.0</v>
      </c>
      <c r="J32" s="32">
        <v>300.0</v>
      </c>
      <c r="K32" s="32">
        <v>300.0</v>
      </c>
      <c r="L32" s="32">
        <v>300.0</v>
      </c>
      <c r="N32" s="32">
        <v>300.0</v>
      </c>
      <c r="O32" s="32">
        <v>300.0</v>
      </c>
      <c r="P32" s="32">
        <v>300.0</v>
      </c>
      <c r="Q32" s="32">
        <v>300.0</v>
      </c>
      <c r="R32" s="15"/>
      <c r="S32" s="35">
        <v>300.0</v>
      </c>
      <c r="T32" s="35"/>
      <c r="U32" s="34">
        <v>300.0</v>
      </c>
      <c r="V32" s="34">
        <v>300.0</v>
      </c>
      <c r="W32" s="37"/>
      <c r="X32" s="35"/>
      <c r="Y32" s="35"/>
      <c r="Z32" s="34"/>
      <c r="AA32" s="34"/>
    </row>
    <row r="33" ht="14.25" customHeight="1" outlineLevel="2">
      <c r="B33" s="45" t="s">
        <v>33</v>
      </c>
      <c r="D33" s="32">
        <v>0.0</v>
      </c>
      <c r="E33" s="32">
        <v>0.0</v>
      </c>
      <c r="F33" s="32">
        <v>2000.0</v>
      </c>
      <c r="G33" s="32">
        <v>600.0</v>
      </c>
      <c r="I33" s="32">
        <v>0.0</v>
      </c>
      <c r="J33" s="32">
        <v>1500.0</v>
      </c>
      <c r="K33" s="32">
        <v>200.0</v>
      </c>
      <c r="L33" s="32">
        <v>4000.0</v>
      </c>
      <c r="N33" s="32">
        <v>3500.0</v>
      </c>
      <c r="O33" s="32">
        <v>2000.0</v>
      </c>
      <c r="P33" s="32">
        <v>2000.0</v>
      </c>
      <c r="Q33" s="32">
        <v>3000.0</v>
      </c>
      <c r="R33" s="15"/>
      <c r="S33" s="34">
        <v>2000.0</v>
      </c>
      <c r="T33" s="35"/>
      <c r="U33" s="34">
        <v>1500.0</v>
      </c>
      <c r="V33" s="34">
        <v>1500.0</v>
      </c>
      <c r="W33" s="37"/>
      <c r="X33" s="34"/>
      <c r="Y33" s="35"/>
      <c r="Z33" s="34"/>
      <c r="AA33" s="34"/>
    </row>
    <row r="34" ht="6.75" customHeight="1">
      <c r="D34" s="46"/>
      <c r="E34" s="46"/>
      <c r="F34" s="46"/>
      <c r="G34" s="46"/>
      <c r="I34" s="46"/>
      <c r="J34" s="46"/>
      <c r="K34" s="46"/>
      <c r="L34" s="46"/>
      <c r="N34" s="46"/>
      <c r="O34" s="46"/>
      <c r="P34" s="46"/>
      <c r="Q34" s="46"/>
      <c r="R34" s="47"/>
      <c r="S34" s="47"/>
      <c r="T34" s="47"/>
      <c r="U34" s="47"/>
      <c r="V34" s="47"/>
      <c r="W34" s="47"/>
      <c r="X34" s="47"/>
      <c r="Y34" s="47"/>
      <c r="Z34" s="47"/>
      <c r="AA34" s="47"/>
    </row>
    <row r="35" ht="14.25" customHeight="1">
      <c r="B35" s="23" t="s">
        <v>34</v>
      </c>
      <c r="D35" s="24">
        <f t="shared" ref="D35:G35" si="46">D36+D39+D42</f>
        <v>182455.22</v>
      </c>
      <c r="E35" s="24">
        <f t="shared" si="46"/>
        <v>183295.22</v>
      </c>
      <c r="F35" s="24">
        <f t="shared" si="46"/>
        <v>184135.22</v>
      </c>
      <c r="G35" s="24">
        <f t="shared" si="46"/>
        <v>178863.2</v>
      </c>
      <c r="I35" s="24">
        <f t="shared" ref="I35:L35" si="47">I36+I39+I42</f>
        <v>178863.2</v>
      </c>
      <c r="J35" s="24">
        <f t="shared" si="47"/>
        <v>178863.2</v>
      </c>
      <c r="K35" s="24">
        <f t="shared" si="47"/>
        <v>178863.2</v>
      </c>
      <c r="L35" s="24">
        <f t="shared" si="47"/>
        <v>165410</v>
      </c>
      <c r="N35" s="24">
        <f t="shared" ref="N35:Q35" si="48">N36+N39+N42</f>
        <v>165410</v>
      </c>
      <c r="O35" s="24">
        <f t="shared" si="48"/>
        <v>165410</v>
      </c>
      <c r="P35" s="24">
        <f t="shared" si="48"/>
        <v>165410</v>
      </c>
      <c r="Q35" s="24">
        <f t="shared" si="48"/>
        <v>158581.57</v>
      </c>
      <c r="R35" s="15"/>
      <c r="S35" s="25">
        <f t="shared" ref="S35:V35" si="49">S36+S39+S42</f>
        <v>158581.57</v>
      </c>
      <c r="T35" s="25">
        <f t="shared" si="49"/>
        <v>3720</v>
      </c>
      <c r="U35" s="25">
        <f t="shared" si="49"/>
        <v>158581.57</v>
      </c>
      <c r="V35" s="25">
        <f t="shared" si="49"/>
        <v>158581.57</v>
      </c>
      <c r="W35" s="26"/>
      <c r="X35" s="25">
        <f t="shared" ref="X35:AA35" si="50">X36+X39+X42</f>
        <v>150581.57</v>
      </c>
      <c r="Y35" s="25">
        <f t="shared" si="50"/>
        <v>150581.57</v>
      </c>
      <c r="Z35" s="25">
        <f t="shared" si="50"/>
        <v>150581.57</v>
      </c>
      <c r="AA35" s="25">
        <f t="shared" si="50"/>
        <v>150581.57</v>
      </c>
    </row>
    <row r="36" ht="14.25" customHeight="1" outlineLevel="1" collapsed="1">
      <c r="B36" s="48" t="s">
        <v>35</v>
      </c>
      <c r="D36" s="28">
        <f t="shared" ref="D36:G36" si="51">SUM(D37:D38)</f>
        <v>0</v>
      </c>
      <c r="E36" s="28">
        <f t="shared" si="51"/>
        <v>0</v>
      </c>
      <c r="F36" s="28">
        <f t="shared" si="51"/>
        <v>0</v>
      </c>
      <c r="G36" s="28">
        <f t="shared" si="51"/>
        <v>0</v>
      </c>
      <c r="I36" s="28">
        <f t="shared" ref="I36:L36" si="52">SUM(I37:I38)</f>
        <v>0</v>
      </c>
      <c r="J36" s="28">
        <f t="shared" si="52"/>
        <v>0</v>
      </c>
      <c r="K36" s="28">
        <f t="shared" si="52"/>
        <v>0</v>
      </c>
      <c r="L36" s="28">
        <f t="shared" si="52"/>
        <v>0</v>
      </c>
      <c r="N36" s="28">
        <f t="shared" ref="N36:Q36" si="53">SUM(N37:N38)</f>
        <v>0</v>
      </c>
      <c r="O36" s="28">
        <f t="shared" si="53"/>
        <v>0</v>
      </c>
      <c r="P36" s="28">
        <f t="shared" si="53"/>
        <v>0</v>
      </c>
      <c r="Q36" s="28">
        <f t="shared" si="53"/>
        <v>0</v>
      </c>
      <c r="R36" s="15"/>
      <c r="S36" s="29">
        <f t="shared" ref="S36:V36" si="54">SUM(S37:S38)</f>
        <v>0</v>
      </c>
      <c r="T36" s="29">
        <f t="shared" si="54"/>
        <v>0</v>
      </c>
      <c r="U36" s="29">
        <f t="shared" si="54"/>
        <v>0</v>
      </c>
      <c r="V36" s="29">
        <f t="shared" si="54"/>
        <v>0</v>
      </c>
      <c r="W36" s="30"/>
      <c r="X36" s="29">
        <f t="shared" ref="X36:AA36" si="55">SUM(X37:X38)</f>
        <v>0</v>
      </c>
      <c r="Y36" s="29">
        <f t="shared" si="55"/>
        <v>0</v>
      </c>
      <c r="Z36" s="29">
        <f t="shared" si="55"/>
        <v>0</v>
      </c>
      <c r="AA36" s="29">
        <f t="shared" si="55"/>
        <v>0</v>
      </c>
    </row>
    <row r="37" ht="14.25" hidden="1" customHeight="1" outlineLevel="2">
      <c r="B37" s="49" t="s">
        <v>36</v>
      </c>
      <c r="D37" s="32">
        <v>0.0</v>
      </c>
      <c r="E37" s="32">
        <v>0.0</v>
      </c>
      <c r="F37" s="32">
        <v>0.0</v>
      </c>
      <c r="G37" s="32">
        <v>0.0</v>
      </c>
      <c r="I37" s="33"/>
      <c r="J37" s="33"/>
      <c r="K37" s="33"/>
      <c r="L37" s="33"/>
      <c r="N37" s="33"/>
      <c r="O37" s="33"/>
      <c r="P37" s="33"/>
      <c r="Q37" s="33"/>
      <c r="R37" s="15"/>
      <c r="S37" s="42"/>
      <c r="T37" s="42"/>
      <c r="U37" s="42"/>
      <c r="V37" s="42"/>
      <c r="W37" s="15"/>
      <c r="X37" s="42"/>
      <c r="Y37" s="42"/>
      <c r="Z37" s="42"/>
      <c r="AA37" s="42"/>
    </row>
    <row r="38" ht="14.25" hidden="1" customHeight="1" outlineLevel="2">
      <c r="B38" s="50" t="s">
        <v>37</v>
      </c>
      <c r="D38" s="32">
        <v>0.0</v>
      </c>
      <c r="E38" s="32">
        <v>0.0</v>
      </c>
      <c r="F38" s="32">
        <v>0.0</v>
      </c>
      <c r="G38" s="32">
        <v>0.0</v>
      </c>
      <c r="I38" s="33"/>
      <c r="J38" s="33"/>
      <c r="K38" s="33"/>
      <c r="L38" s="33"/>
      <c r="N38" s="33"/>
      <c r="O38" s="33"/>
      <c r="P38" s="33"/>
      <c r="Q38" s="33"/>
      <c r="R38" s="15"/>
      <c r="S38" s="42"/>
      <c r="T38" s="42"/>
      <c r="U38" s="42"/>
      <c r="V38" s="42"/>
      <c r="W38" s="15"/>
      <c r="X38" s="42"/>
      <c r="Y38" s="42"/>
      <c r="Z38" s="42"/>
      <c r="AA38" s="42"/>
    </row>
    <row r="39" ht="14.25" customHeight="1" outlineLevel="1">
      <c r="B39" s="51" t="s">
        <v>38</v>
      </c>
      <c r="D39" s="28">
        <f t="shared" ref="D39:G39" si="56">SUM(D40:D41)</f>
        <v>181615.22</v>
      </c>
      <c r="E39" s="28">
        <f t="shared" si="56"/>
        <v>181615.22</v>
      </c>
      <c r="F39" s="28">
        <f t="shared" si="56"/>
        <v>181615.22</v>
      </c>
      <c r="G39" s="28">
        <f t="shared" si="56"/>
        <v>175143.2</v>
      </c>
      <c r="I39" s="28">
        <f t="shared" ref="I39:L39" si="57">SUM(I40:I41)</f>
        <v>175143.2</v>
      </c>
      <c r="J39" s="28">
        <f t="shared" si="57"/>
        <v>175143.2</v>
      </c>
      <c r="K39" s="28">
        <f t="shared" si="57"/>
        <v>175143.2</v>
      </c>
      <c r="L39" s="28">
        <f t="shared" si="57"/>
        <v>161690</v>
      </c>
      <c r="N39" s="28">
        <f t="shared" ref="N39:Q39" si="58">SUM(N40:N41)</f>
        <v>161690</v>
      </c>
      <c r="O39" s="28">
        <f t="shared" si="58"/>
        <v>161690</v>
      </c>
      <c r="P39" s="28">
        <f t="shared" si="58"/>
        <v>161690</v>
      </c>
      <c r="Q39" s="28">
        <f t="shared" si="58"/>
        <v>154861.57</v>
      </c>
      <c r="R39" s="15"/>
      <c r="S39" s="29">
        <f t="shared" ref="S39:V39" si="59">SUM(S40:S41)</f>
        <v>154861.57</v>
      </c>
      <c r="T39" s="29">
        <f t="shared" si="59"/>
        <v>0</v>
      </c>
      <c r="U39" s="29">
        <f t="shared" si="59"/>
        <v>154861.57</v>
      </c>
      <c r="V39" s="29">
        <f t="shared" si="59"/>
        <v>154861.57</v>
      </c>
      <c r="W39" s="30"/>
      <c r="X39" s="29">
        <f t="shared" ref="X39:AA39" si="60">SUM(X40:X41)</f>
        <v>146861.57</v>
      </c>
      <c r="Y39" s="29">
        <f t="shared" si="60"/>
        <v>146861.57</v>
      </c>
      <c r="Z39" s="29">
        <f t="shared" si="60"/>
        <v>146861.57</v>
      </c>
      <c r="AA39" s="29">
        <f t="shared" si="60"/>
        <v>146861.57</v>
      </c>
    </row>
    <row r="40" ht="14.25" customHeight="1" outlineLevel="2">
      <c r="B40" s="31" t="s">
        <v>39</v>
      </c>
      <c r="D40" s="52">
        <v>48479.73</v>
      </c>
      <c r="E40" s="52">
        <v>48479.73</v>
      </c>
      <c r="F40" s="52">
        <v>48479.73</v>
      </c>
      <c r="G40" s="52">
        <v>46471.2</v>
      </c>
      <c r="I40" s="52">
        <v>46471.2</v>
      </c>
      <c r="J40" s="52">
        <v>46471.2</v>
      </c>
      <c r="K40" s="52">
        <v>46471.2</v>
      </c>
      <c r="L40" s="52">
        <v>37571.0</v>
      </c>
      <c r="N40" s="52">
        <v>37571.0</v>
      </c>
      <c r="O40" s="52">
        <v>37571.0</v>
      </c>
      <c r="P40" s="52">
        <v>37571.0</v>
      </c>
      <c r="Q40" s="52">
        <v>35385.78</v>
      </c>
      <c r="R40" s="15"/>
      <c r="S40" s="52">
        <v>35385.78</v>
      </c>
      <c r="T40" s="53"/>
      <c r="U40" s="52">
        <v>35385.78</v>
      </c>
      <c r="V40" s="52">
        <v>35385.78</v>
      </c>
      <c r="W40" s="54"/>
      <c r="X40" s="52">
        <v>30385.78</v>
      </c>
      <c r="Y40" s="52">
        <v>30385.78</v>
      </c>
      <c r="Z40" s="52">
        <v>30385.78</v>
      </c>
      <c r="AA40" s="52">
        <v>30385.78</v>
      </c>
    </row>
    <row r="41" ht="14.25" customHeight="1" outlineLevel="2">
      <c r="B41" s="31" t="s">
        <v>40</v>
      </c>
      <c r="D41" s="52">
        <v>133135.49</v>
      </c>
      <c r="E41" s="52">
        <v>133135.49</v>
      </c>
      <c r="F41" s="52">
        <v>133135.49</v>
      </c>
      <c r="G41" s="52">
        <v>128672.0</v>
      </c>
      <c r="I41" s="52">
        <v>128672.0</v>
      </c>
      <c r="J41" s="52">
        <v>128672.0</v>
      </c>
      <c r="K41" s="52">
        <v>128672.0</v>
      </c>
      <c r="L41" s="52">
        <v>124119.0</v>
      </c>
      <c r="N41" s="52">
        <v>124119.0</v>
      </c>
      <c r="O41" s="52">
        <v>124119.0</v>
      </c>
      <c r="P41" s="52">
        <v>124119.0</v>
      </c>
      <c r="Q41" s="52">
        <v>119475.79</v>
      </c>
      <c r="R41" s="15"/>
      <c r="S41" s="52">
        <v>119475.79</v>
      </c>
      <c r="T41" s="53"/>
      <c r="U41" s="52">
        <v>119475.79</v>
      </c>
      <c r="V41" s="52">
        <v>119475.79</v>
      </c>
      <c r="W41" s="54"/>
      <c r="X41" s="52">
        <v>116475.79</v>
      </c>
      <c r="Y41" s="52">
        <v>116475.79</v>
      </c>
      <c r="Z41" s="52">
        <v>116475.79</v>
      </c>
      <c r="AA41" s="52">
        <v>116475.79</v>
      </c>
    </row>
    <row r="42" ht="14.25" customHeight="1" outlineLevel="1">
      <c r="B42" s="48" t="s">
        <v>41</v>
      </c>
      <c r="D42" s="28">
        <f t="shared" ref="D42:G42" si="61">SUM($D$51:D51)*-1</f>
        <v>840</v>
      </c>
      <c r="E42" s="28">
        <f t="shared" si="61"/>
        <v>1680</v>
      </c>
      <c r="F42" s="28">
        <f t="shared" si="61"/>
        <v>2520</v>
      </c>
      <c r="G42" s="28">
        <f t="shared" si="61"/>
        <v>3720</v>
      </c>
      <c r="I42" s="28">
        <f t="shared" ref="I42:L42" si="62">SUM($D$51:I51)*-1</f>
        <v>3720</v>
      </c>
      <c r="J42" s="28">
        <f t="shared" si="62"/>
        <v>3720</v>
      </c>
      <c r="K42" s="28">
        <f t="shared" si="62"/>
        <v>3720</v>
      </c>
      <c r="L42" s="28">
        <f t="shared" si="62"/>
        <v>3720</v>
      </c>
      <c r="N42" s="28">
        <f t="shared" ref="N42:Q42" si="63">SUM($D$51:N51)*-1</f>
        <v>3720</v>
      </c>
      <c r="O42" s="28">
        <f t="shared" si="63"/>
        <v>3720</v>
      </c>
      <c r="P42" s="28">
        <f t="shared" si="63"/>
        <v>3720</v>
      </c>
      <c r="Q42" s="28">
        <f t="shared" si="63"/>
        <v>3720</v>
      </c>
      <c r="R42" s="15"/>
      <c r="S42" s="29">
        <f t="shared" ref="S42:V42" si="64">SUM($D$51:S51)*-1</f>
        <v>3720</v>
      </c>
      <c r="T42" s="29">
        <f t="shared" si="64"/>
        <v>3720</v>
      </c>
      <c r="U42" s="29">
        <f t="shared" si="64"/>
        <v>3720</v>
      </c>
      <c r="V42" s="29">
        <f t="shared" si="64"/>
        <v>3720</v>
      </c>
      <c r="W42" s="30"/>
      <c r="X42" s="29">
        <f t="shared" ref="X42:AA42" si="65">SUM($D$51:X51)*-1</f>
        <v>3720</v>
      </c>
      <c r="Y42" s="29">
        <f t="shared" si="65"/>
        <v>3720</v>
      </c>
      <c r="Z42" s="29">
        <f t="shared" si="65"/>
        <v>3720</v>
      </c>
      <c r="AA42" s="29">
        <f t="shared" si="65"/>
        <v>3720</v>
      </c>
    </row>
    <row r="43" ht="14.25" customHeight="1">
      <c r="D43" s="46"/>
      <c r="E43" s="46"/>
      <c r="F43" s="46"/>
      <c r="G43" s="46"/>
      <c r="I43" s="46"/>
      <c r="J43" s="46"/>
      <c r="K43" s="46"/>
      <c r="L43" s="46"/>
      <c r="N43" s="46"/>
      <c r="O43" s="46"/>
      <c r="P43" s="46"/>
      <c r="Q43" s="46"/>
      <c r="R43" s="47"/>
      <c r="S43" s="47"/>
      <c r="T43" s="47"/>
      <c r="U43" s="47"/>
      <c r="V43" s="47"/>
      <c r="W43" s="47"/>
      <c r="X43" s="47"/>
      <c r="Y43" s="47"/>
      <c r="Z43" s="47"/>
      <c r="AA43" s="47"/>
    </row>
    <row r="44" ht="14.25" customHeight="1">
      <c r="B44" s="55" t="s">
        <v>42</v>
      </c>
      <c r="D44" s="14">
        <f t="shared" ref="D44:G44" si="66">D46-D53-D69</f>
        <v>7200</v>
      </c>
      <c r="E44" s="14">
        <f t="shared" si="66"/>
        <v>7200</v>
      </c>
      <c r="F44" s="14">
        <f t="shared" si="66"/>
        <v>7140</v>
      </c>
      <c r="G44" s="14">
        <f t="shared" si="66"/>
        <v>8280</v>
      </c>
      <c r="I44" s="14">
        <f t="shared" ref="I44:L44" si="67">I46-I53-I69</f>
        <v>9472.75</v>
      </c>
      <c r="J44" s="14">
        <f t="shared" si="67"/>
        <v>9472.75</v>
      </c>
      <c r="K44" s="14">
        <f t="shared" si="67"/>
        <v>9472.75</v>
      </c>
      <c r="L44" s="14">
        <f t="shared" si="67"/>
        <v>10972.75</v>
      </c>
      <c r="N44" s="14">
        <f t="shared" ref="N44:Q44" si="68">N46-N53-N69</f>
        <v>9510</v>
      </c>
      <c r="O44" s="14">
        <f t="shared" si="68"/>
        <v>11010</v>
      </c>
      <c r="P44" s="14">
        <f t="shared" si="68"/>
        <v>11010</v>
      </c>
      <c r="Q44" s="14">
        <f t="shared" si="68"/>
        <v>11010</v>
      </c>
      <c r="R44" s="15"/>
      <c r="S44" s="16">
        <f t="shared" ref="S44:V44" si="69">S46-S53-S69</f>
        <v>9510</v>
      </c>
      <c r="T44" s="16">
        <f t="shared" si="69"/>
        <v>11010</v>
      </c>
      <c r="U44" s="16">
        <f t="shared" si="69"/>
        <v>11010</v>
      </c>
      <c r="V44" s="16">
        <f t="shared" si="69"/>
        <v>12510</v>
      </c>
      <c r="W44" s="17"/>
      <c r="X44" s="16">
        <f t="shared" ref="X44:AA44" si="70">X46-X53-X69</f>
        <v>11010</v>
      </c>
      <c r="Y44" s="16">
        <f t="shared" si="70"/>
        <v>12510</v>
      </c>
      <c r="Z44" s="16">
        <f t="shared" si="70"/>
        <v>12510</v>
      </c>
      <c r="AA44" s="16">
        <f t="shared" si="70"/>
        <v>12510</v>
      </c>
    </row>
    <row r="45" ht="6.75" customHeight="1"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B46" s="56" t="s">
        <v>43</v>
      </c>
      <c r="D46" s="24">
        <f t="shared" ref="D46:G46" si="71">SUM(D47:D51)</f>
        <v>14760</v>
      </c>
      <c r="E46" s="24">
        <f t="shared" si="71"/>
        <v>14760</v>
      </c>
      <c r="F46" s="24">
        <f t="shared" si="71"/>
        <v>14760</v>
      </c>
      <c r="G46" s="24">
        <f t="shared" si="71"/>
        <v>15900</v>
      </c>
      <c r="I46" s="24">
        <f t="shared" ref="I46:L46" si="72">SUM(I47:I51)</f>
        <v>17100</v>
      </c>
      <c r="J46" s="24">
        <f t="shared" si="72"/>
        <v>17100</v>
      </c>
      <c r="K46" s="24">
        <f t="shared" si="72"/>
        <v>17100</v>
      </c>
      <c r="L46" s="24">
        <f t="shared" si="72"/>
        <v>18600</v>
      </c>
      <c r="N46" s="24">
        <f t="shared" ref="N46:Q46" si="73">SUM(N47:N51)</f>
        <v>17100</v>
      </c>
      <c r="O46" s="24">
        <f t="shared" si="73"/>
        <v>18600</v>
      </c>
      <c r="P46" s="24">
        <f t="shared" si="73"/>
        <v>18600</v>
      </c>
      <c r="Q46" s="24">
        <f t="shared" si="73"/>
        <v>18600</v>
      </c>
      <c r="R46" s="15"/>
      <c r="S46" s="25">
        <f t="shared" ref="S46:V46" si="74">SUM(S47:S51)</f>
        <v>17100</v>
      </c>
      <c r="T46" s="25">
        <f t="shared" si="74"/>
        <v>18600</v>
      </c>
      <c r="U46" s="25">
        <f t="shared" si="74"/>
        <v>18600</v>
      </c>
      <c r="V46" s="25">
        <f t="shared" si="74"/>
        <v>20100</v>
      </c>
      <c r="W46" s="26"/>
      <c r="X46" s="25">
        <f t="shared" ref="X46:AA46" si="75">SUM(X47:X51)</f>
        <v>18600</v>
      </c>
      <c r="Y46" s="25">
        <f t="shared" si="75"/>
        <v>20100</v>
      </c>
      <c r="Z46" s="25">
        <f t="shared" si="75"/>
        <v>20100</v>
      </c>
      <c r="AA46" s="25">
        <f t="shared" si="75"/>
        <v>20100</v>
      </c>
    </row>
    <row r="47" ht="14.25" customHeight="1" outlineLevel="1">
      <c r="B47" s="57" t="s">
        <v>44</v>
      </c>
      <c r="D47" s="32">
        <v>13500.0</v>
      </c>
      <c r="E47" s="32">
        <v>13500.0</v>
      </c>
      <c r="F47" s="32">
        <v>13500.0</v>
      </c>
      <c r="G47" s="32">
        <f>3*4700</f>
        <v>14100</v>
      </c>
      <c r="I47" s="32">
        <f t="shared" ref="I47:K47" si="76">3*4700</f>
        <v>14100</v>
      </c>
      <c r="J47" s="32">
        <f t="shared" si="76"/>
        <v>14100</v>
      </c>
      <c r="K47" s="32">
        <f t="shared" si="76"/>
        <v>14100</v>
      </c>
      <c r="L47" s="32">
        <f>3*5200</f>
        <v>15600</v>
      </c>
      <c r="N47" s="32">
        <f t="shared" ref="N47:Q47" si="77">3*5700</f>
        <v>17100</v>
      </c>
      <c r="O47" s="32">
        <f t="shared" si="77"/>
        <v>17100</v>
      </c>
      <c r="P47" s="32">
        <f t="shared" si="77"/>
        <v>17100</v>
      </c>
      <c r="Q47" s="32">
        <f t="shared" si="77"/>
        <v>17100</v>
      </c>
      <c r="R47" s="15"/>
      <c r="S47" s="35">
        <f t="shared" ref="S47:V47" si="78">3*5700</f>
        <v>17100</v>
      </c>
      <c r="T47" s="35">
        <f t="shared" si="78"/>
        <v>17100</v>
      </c>
      <c r="U47" s="35">
        <f t="shared" si="78"/>
        <v>17100</v>
      </c>
      <c r="V47" s="35">
        <f t="shared" si="78"/>
        <v>17100</v>
      </c>
      <c r="W47" s="39"/>
      <c r="X47" s="35">
        <f t="shared" ref="X47:AA47" si="79">3*5700</f>
        <v>17100</v>
      </c>
      <c r="Y47" s="35">
        <f t="shared" si="79"/>
        <v>17100</v>
      </c>
      <c r="Z47" s="35">
        <f t="shared" si="79"/>
        <v>17100</v>
      </c>
      <c r="AA47" s="35">
        <f t="shared" si="79"/>
        <v>17100</v>
      </c>
    </row>
    <row r="48" ht="14.25" customHeight="1" outlineLevel="1">
      <c r="B48" s="58" t="s">
        <v>45</v>
      </c>
      <c r="D48" s="32">
        <v>2100.0</v>
      </c>
      <c r="E48" s="32">
        <v>2100.0</v>
      </c>
      <c r="F48" s="32">
        <v>2100.0</v>
      </c>
      <c r="G48" s="32">
        <f>3*500</f>
        <v>1500</v>
      </c>
      <c r="I48" s="32">
        <f t="shared" ref="I48:L48" si="80">3*500</f>
        <v>1500</v>
      </c>
      <c r="J48" s="32">
        <f t="shared" si="80"/>
        <v>1500</v>
      </c>
      <c r="K48" s="32">
        <f t="shared" si="80"/>
        <v>1500</v>
      </c>
      <c r="L48" s="32">
        <f t="shared" si="80"/>
        <v>1500</v>
      </c>
      <c r="N48" s="32"/>
      <c r="O48" s="32">
        <f t="shared" ref="O48:Q48" si="81">3*500</f>
        <v>1500</v>
      </c>
      <c r="P48" s="32">
        <f t="shared" si="81"/>
        <v>1500</v>
      </c>
      <c r="Q48" s="32">
        <f t="shared" si="81"/>
        <v>1500</v>
      </c>
      <c r="R48" s="15"/>
      <c r="S48" s="42"/>
      <c r="T48" s="35">
        <f t="shared" ref="T48:V48" si="82">3*500</f>
        <v>1500</v>
      </c>
      <c r="U48" s="35">
        <f t="shared" si="82"/>
        <v>1500</v>
      </c>
      <c r="V48" s="35">
        <f t="shared" si="82"/>
        <v>1500</v>
      </c>
      <c r="W48" s="39"/>
      <c r="X48" s="42"/>
      <c r="Y48" s="35">
        <f t="shared" ref="Y48:AA48" si="83">3*500</f>
        <v>1500</v>
      </c>
      <c r="Z48" s="35">
        <f t="shared" si="83"/>
        <v>1500</v>
      </c>
      <c r="AA48" s="35">
        <f t="shared" si="83"/>
        <v>1500</v>
      </c>
    </row>
    <row r="49" ht="14.25" customHeight="1" outlineLevel="1">
      <c r="B49" s="58" t="s">
        <v>46</v>
      </c>
      <c r="D49" s="33"/>
      <c r="E49" s="33"/>
      <c r="F49" s="33"/>
      <c r="G49" s="32">
        <v>1500.0</v>
      </c>
      <c r="I49" s="32">
        <v>1500.0</v>
      </c>
      <c r="J49" s="32">
        <v>1500.0</v>
      </c>
      <c r="K49" s="32">
        <v>1500.0</v>
      </c>
      <c r="L49" s="32">
        <v>1500.0</v>
      </c>
      <c r="N49" s="32"/>
      <c r="O49" s="32"/>
      <c r="P49" s="32"/>
      <c r="Q49" s="32"/>
      <c r="R49" s="15"/>
      <c r="S49" s="42"/>
      <c r="T49" s="42"/>
      <c r="U49" s="42"/>
      <c r="V49" s="36">
        <v>1500.0</v>
      </c>
      <c r="W49" s="15"/>
      <c r="X49" s="36">
        <v>1500.0</v>
      </c>
      <c r="Y49" s="36">
        <v>1500.0</v>
      </c>
      <c r="Z49" s="36">
        <v>1500.0</v>
      </c>
      <c r="AA49" s="36">
        <v>1500.0</v>
      </c>
    </row>
    <row r="50" ht="14.25" customHeight="1" outlineLevel="1">
      <c r="B50" s="57" t="s">
        <v>47</v>
      </c>
      <c r="D50" s="33"/>
      <c r="E50" s="33"/>
      <c r="F50" s="33"/>
      <c r="G50" s="33"/>
      <c r="I50" s="33"/>
      <c r="J50" s="33"/>
      <c r="K50" s="33"/>
      <c r="L50" s="33"/>
      <c r="N50" s="33"/>
      <c r="O50" s="33"/>
      <c r="P50" s="33"/>
      <c r="Q50" s="33"/>
      <c r="R50" s="15"/>
      <c r="S50" s="42"/>
      <c r="T50" s="42"/>
      <c r="U50" s="42"/>
      <c r="V50" s="42"/>
      <c r="W50" s="15"/>
      <c r="X50" s="42"/>
      <c r="Y50" s="42"/>
      <c r="Z50" s="42"/>
      <c r="AA50" s="42"/>
    </row>
    <row r="51" ht="14.25" customHeight="1" outlineLevel="1">
      <c r="B51" s="57" t="s">
        <v>48</v>
      </c>
      <c r="D51" s="33">
        <f t="shared" ref="D51:G51" si="84">-0.4*SUM(D48:D50)</f>
        <v>-840</v>
      </c>
      <c r="E51" s="33">
        <f t="shared" si="84"/>
        <v>-840</v>
      </c>
      <c r="F51" s="33">
        <f t="shared" si="84"/>
        <v>-840</v>
      </c>
      <c r="G51" s="33">
        <f t="shared" si="84"/>
        <v>-1200</v>
      </c>
      <c r="I51" s="33"/>
      <c r="J51" s="33"/>
      <c r="K51" s="33"/>
      <c r="L51" s="33"/>
      <c r="N51" s="33"/>
      <c r="O51" s="33"/>
      <c r="P51" s="33"/>
      <c r="Q51" s="33"/>
      <c r="R51" s="15"/>
      <c r="S51" s="42"/>
      <c r="T51" s="42"/>
      <c r="U51" s="42"/>
      <c r="V51" s="42"/>
      <c r="W51" s="15"/>
      <c r="X51" s="42"/>
      <c r="Y51" s="42"/>
      <c r="Z51" s="42"/>
      <c r="AA51" s="42"/>
    </row>
    <row r="52" ht="6.75" customHeight="1">
      <c r="D52" s="46"/>
      <c r="E52" s="46"/>
      <c r="F52" s="46"/>
      <c r="G52" s="46"/>
      <c r="I52" s="46"/>
      <c r="J52" s="46"/>
      <c r="K52" s="46"/>
      <c r="L52" s="46"/>
      <c r="N52" s="46"/>
      <c r="O52" s="46"/>
      <c r="P52" s="46"/>
      <c r="Q52" s="46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 ht="14.25" customHeight="1">
      <c r="B53" s="56" t="s">
        <v>49</v>
      </c>
      <c r="D53" s="24">
        <f t="shared" ref="D53:G53" si="85">D54+D58+D62+D65</f>
        <v>7560</v>
      </c>
      <c r="E53" s="24">
        <f t="shared" si="85"/>
        <v>7560</v>
      </c>
      <c r="F53" s="24">
        <f t="shared" si="85"/>
        <v>7620</v>
      </c>
      <c r="G53" s="24">
        <f t="shared" si="85"/>
        <v>7620</v>
      </c>
      <c r="I53" s="24">
        <f t="shared" ref="I53:L53" si="86">I54+I58+I62+I65</f>
        <v>7627.25</v>
      </c>
      <c r="J53" s="24">
        <f t="shared" si="86"/>
        <v>7627.25</v>
      </c>
      <c r="K53" s="24">
        <f t="shared" si="86"/>
        <v>7627.25</v>
      </c>
      <c r="L53" s="24">
        <f t="shared" si="86"/>
        <v>7627.25</v>
      </c>
      <c r="N53" s="24">
        <f t="shared" ref="N53:Q53" si="87">N54+N58+N62+N65</f>
        <v>7590</v>
      </c>
      <c r="O53" s="24">
        <f t="shared" si="87"/>
        <v>7590</v>
      </c>
      <c r="P53" s="24">
        <f t="shared" si="87"/>
        <v>7590</v>
      </c>
      <c r="Q53" s="24">
        <f t="shared" si="87"/>
        <v>7590</v>
      </c>
      <c r="R53" s="15"/>
      <c r="S53" s="25">
        <f t="shared" ref="S53:V53" si="88">S54+S58+S62+S65</f>
        <v>7590</v>
      </c>
      <c r="T53" s="25">
        <f t="shared" si="88"/>
        <v>7590</v>
      </c>
      <c r="U53" s="25">
        <f t="shared" si="88"/>
        <v>7590</v>
      </c>
      <c r="V53" s="25">
        <f t="shared" si="88"/>
        <v>7590</v>
      </c>
      <c r="W53" s="26"/>
      <c r="X53" s="25">
        <f t="shared" ref="X53:AA53" si="89">X54+X58+X62+X65</f>
        <v>7590</v>
      </c>
      <c r="Y53" s="25">
        <f t="shared" si="89"/>
        <v>7590</v>
      </c>
      <c r="Z53" s="25">
        <f t="shared" si="89"/>
        <v>7590</v>
      </c>
      <c r="AA53" s="25">
        <f t="shared" si="89"/>
        <v>7590</v>
      </c>
    </row>
    <row r="54" ht="14.25" customHeight="1" outlineLevel="1">
      <c r="B54" s="48" t="s">
        <v>50</v>
      </c>
      <c r="D54" s="28">
        <f t="shared" ref="D54:G54" si="90">SUM(D55:D57)</f>
        <v>4560</v>
      </c>
      <c r="E54" s="28">
        <f t="shared" si="90"/>
        <v>4560</v>
      </c>
      <c r="F54" s="28">
        <f t="shared" si="90"/>
        <v>4560</v>
      </c>
      <c r="G54" s="28">
        <f t="shared" si="90"/>
        <v>4560</v>
      </c>
      <c r="I54" s="28">
        <f t="shared" ref="I54:L54" si="91">SUM(I55:I57)</f>
        <v>4560</v>
      </c>
      <c r="J54" s="28">
        <f t="shared" si="91"/>
        <v>4560</v>
      </c>
      <c r="K54" s="28">
        <f t="shared" si="91"/>
        <v>4560</v>
      </c>
      <c r="L54" s="28">
        <f t="shared" si="91"/>
        <v>4560</v>
      </c>
      <c r="N54" s="28">
        <f t="shared" ref="N54:Q54" si="92">SUM(N55:N57)</f>
        <v>4560</v>
      </c>
      <c r="O54" s="28">
        <f t="shared" si="92"/>
        <v>4560</v>
      </c>
      <c r="P54" s="28">
        <f t="shared" si="92"/>
        <v>4560</v>
      </c>
      <c r="Q54" s="28">
        <f t="shared" si="92"/>
        <v>4560</v>
      </c>
      <c r="R54" s="15"/>
      <c r="S54" s="29">
        <f t="shared" ref="S54:V54" si="93">SUM(S55:S57)</f>
        <v>4560</v>
      </c>
      <c r="T54" s="29">
        <f t="shared" si="93"/>
        <v>4560</v>
      </c>
      <c r="U54" s="29">
        <f t="shared" si="93"/>
        <v>4560</v>
      </c>
      <c r="V54" s="29">
        <f t="shared" si="93"/>
        <v>4560</v>
      </c>
      <c r="W54" s="30"/>
      <c r="X54" s="29">
        <f t="shared" ref="X54:AA54" si="94">SUM(X55:X57)</f>
        <v>4560</v>
      </c>
      <c r="Y54" s="29">
        <f t="shared" si="94"/>
        <v>4560</v>
      </c>
      <c r="Z54" s="29">
        <f t="shared" si="94"/>
        <v>4560</v>
      </c>
      <c r="AA54" s="29">
        <f t="shared" si="94"/>
        <v>4560</v>
      </c>
    </row>
    <row r="55" ht="14.25" customHeight="1" outlineLevel="2">
      <c r="B55" s="31" t="s">
        <v>51</v>
      </c>
      <c r="D55" s="32">
        <v>2460.0</v>
      </c>
      <c r="E55" s="32">
        <v>2460.0</v>
      </c>
      <c r="F55" s="32">
        <v>2460.0</v>
      </c>
      <c r="G55" s="32">
        <v>2460.0</v>
      </c>
      <c r="I55" s="32">
        <v>2460.0</v>
      </c>
      <c r="J55" s="32">
        <v>2460.0</v>
      </c>
      <c r="K55" s="32">
        <v>2460.0</v>
      </c>
      <c r="L55" s="32">
        <v>2460.0</v>
      </c>
      <c r="N55" s="32">
        <v>2460.0</v>
      </c>
      <c r="O55" s="32">
        <v>2460.0</v>
      </c>
      <c r="P55" s="32">
        <v>2460.0</v>
      </c>
      <c r="Q55" s="32">
        <v>2460.0</v>
      </c>
      <c r="R55" s="15"/>
      <c r="S55" s="35">
        <v>2460.0</v>
      </c>
      <c r="T55" s="35">
        <v>2460.0</v>
      </c>
      <c r="U55" s="35">
        <v>2460.0</v>
      </c>
      <c r="V55" s="35">
        <v>2460.0</v>
      </c>
      <c r="W55" s="39"/>
      <c r="X55" s="35">
        <v>2460.0</v>
      </c>
      <c r="Y55" s="35">
        <v>2460.0</v>
      </c>
      <c r="Z55" s="35">
        <v>2460.0</v>
      </c>
      <c r="AA55" s="35">
        <v>2460.0</v>
      </c>
    </row>
    <row r="56" ht="14.25" customHeight="1" outlineLevel="2">
      <c r="B56" s="31" t="s">
        <v>52</v>
      </c>
      <c r="D56" s="32">
        <v>1200.0</v>
      </c>
      <c r="E56" s="32">
        <v>1200.0</v>
      </c>
      <c r="F56" s="32">
        <v>1200.0</v>
      </c>
      <c r="G56" s="32">
        <v>1200.0</v>
      </c>
      <c r="I56" s="32">
        <v>1200.0</v>
      </c>
      <c r="J56" s="32">
        <v>1200.0</v>
      </c>
      <c r="K56" s="32">
        <v>1200.0</v>
      </c>
      <c r="L56" s="32">
        <v>1200.0</v>
      </c>
      <c r="N56" s="32">
        <v>1200.0</v>
      </c>
      <c r="O56" s="32">
        <v>1200.0</v>
      </c>
      <c r="P56" s="32">
        <v>1200.0</v>
      </c>
      <c r="Q56" s="32">
        <v>1200.0</v>
      </c>
      <c r="R56" s="15"/>
      <c r="S56" s="35">
        <v>1200.0</v>
      </c>
      <c r="T56" s="35">
        <v>1200.0</v>
      </c>
      <c r="U56" s="35">
        <v>1200.0</v>
      </c>
      <c r="V56" s="35">
        <v>1200.0</v>
      </c>
      <c r="W56" s="39"/>
      <c r="X56" s="35">
        <v>1200.0</v>
      </c>
      <c r="Y56" s="35">
        <v>1200.0</v>
      </c>
      <c r="Z56" s="35">
        <v>1200.0</v>
      </c>
      <c r="AA56" s="35">
        <v>1200.0</v>
      </c>
    </row>
    <row r="57" ht="14.25" customHeight="1" outlineLevel="2">
      <c r="B57" s="31" t="s">
        <v>53</v>
      </c>
      <c r="D57" s="32">
        <v>900.0</v>
      </c>
      <c r="E57" s="32">
        <v>900.0</v>
      </c>
      <c r="F57" s="32">
        <v>900.0</v>
      </c>
      <c r="G57" s="32">
        <v>900.0</v>
      </c>
      <c r="I57" s="32">
        <v>900.0</v>
      </c>
      <c r="J57" s="32">
        <v>900.0</v>
      </c>
      <c r="K57" s="32">
        <v>900.0</v>
      </c>
      <c r="L57" s="32">
        <v>900.0</v>
      </c>
      <c r="N57" s="32">
        <v>900.0</v>
      </c>
      <c r="O57" s="32">
        <v>900.0</v>
      </c>
      <c r="P57" s="32">
        <v>900.0</v>
      </c>
      <c r="Q57" s="32">
        <v>900.0</v>
      </c>
      <c r="R57" s="15"/>
      <c r="S57" s="35">
        <v>900.0</v>
      </c>
      <c r="T57" s="35">
        <v>900.0</v>
      </c>
      <c r="U57" s="35">
        <v>900.0</v>
      </c>
      <c r="V57" s="35">
        <v>900.0</v>
      </c>
      <c r="W57" s="39"/>
      <c r="X57" s="35">
        <v>900.0</v>
      </c>
      <c r="Y57" s="35">
        <v>900.0</v>
      </c>
      <c r="Z57" s="35">
        <v>900.0</v>
      </c>
      <c r="AA57" s="35">
        <v>900.0</v>
      </c>
    </row>
    <row r="58" ht="14.25" customHeight="1" outlineLevel="1">
      <c r="B58" s="48" t="s">
        <v>54</v>
      </c>
      <c r="D58" s="28">
        <f t="shared" ref="D58:G58" si="95">SUM(D59:D61)</f>
        <v>0</v>
      </c>
      <c r="E58" s="28">
        <f t="shared" si="95"/>
        <v>0</v>
      </c>
      <c r="F58" s="28">
        <f t="shared" si="95"/>
        <v>60</v>
      </c>
      <c r="G58" s="28">
        <f t="shared" si="95"/>
        <v>60</v>
      </c>
      <c r="I58" s="28">
        <f t="shared" ref="I58:L58" si="96">SUM(I59:I61)</f>
        <v>67.25</v>
      </c>
      <c r="J58" s="28">
        <f t="shared" si="96"/>
        <v>67.25</v>
      </c>
      <c r="K58" s="28">
        <f t="shared" si="96"/>
        <v>67.25</v>
      </c>
      <c r="L58" s="28">
        <f t="shared" si="96"/>
        <v>67.25</v>
      </c>
      <c r="N58" s="28">
        <f t="shared" ref="N58:Q58" si="97">SUM(N59:N61)</f>
        <v>30</v>
      </c>
      <c r="O58" s="28">
        <f t="shared" si="97"/>
        <v>30</v>
      </c>
      <c r="P58" s="28">
        <f t="shared" si="97"/>
        <v>30</v>
      </c>
      <c r="Q58" s="28">
        <f t="shared" si="97"/>
        <v>30</v>
      </c>
      <c r="R58" s="15"/>
      <c r="S58" s="29">
        <f t="shared" ref="S58:V58" si="98">SUM(S59:S61)</f>
        <v>30</v>
      </c>
      <c r="T58" s="29">
        <f t="shared" si="98"/>
        <v>30</v>
      </c>
      <c r="U58" s="29">
        <f t="shared" si="98"/>
        <v>30</v>
      </c>
      <c r="V58" s="29">
        <f t="shared" si="98"/>
        <v>30</v>
      </c>
      <c r="W58" s="30"/>
      <c r="X58" s="29">
        <f t="shared" ref="X58:AA58" si="99">SUM(X59:X61)</f>
        <v>30</v>
      </c>
      <c r="Y58" s="29">
        <f t="shared" si="99"/>
        <v>30</v>
      </c>
      <c r="Z58" s="29">
        <f t="shared" si="99"/>
        <v>30</v>
      </c>
      <c r="AA58" s="29">
        <f t="shared" si="99"/>
        <v>30</v>
      </c>
    </row>
    <row r="59" ht="14.25" customHeight="1" outlineLevel="2">
      <c r="B59" s="59"/>
      <c r="D59" s="32">
        <v>0.0</v>
      </c>
      <c r="E59" s="32">
        <v>0.0</v>
      </c>
      <c r="F59" s="32">
        <v>0.0</v>
      </c>
      <c r="G59" s="32">
        <v>0.0</v>
      </c>
      <c r="I59" s="32">
        <v>0.0</v>
      </c>
      <c r="J59" s="32">
        <v>0.0</v>
      </c>
      <c r="K59" s="32">
        <v>0.0</v>
      </c>
      <c r="L59" s="32">
        <v>0.0</v>
      </c>
      <c r="N59" s="32">
        <v>0.0</v>
      </c>
      <c r="O59" s="32">
        <v>0.0</v>
      </c>
      <c r="P59" s="32">
        <v>0.0</v>
      </c>
      <c r="Q59" s="32">
        <v>0.0</v>
      </c>
      <c r="R59" s="15"/>
      <c r="S59" s="35">
        <v>0.0</v>
      </c>
      <c r="T59" s="35">
        <v>0.0</v>
      </c>
      <c r="U59" s="35">
        <v>0.0</v>
      </c>
      <c r="V59" s="35">
        <v>0.0</v>
      </c>
      <c r="W59" s="39"/>
      <c r="X59" s="35">
        <v>0.0</v>
      </c>
      <c r="Y59" s="35">
        <v>0.0</v>
      </c>
      <c r="Z59" s="35">
        <v>0.0</v>
      </c>
      <c r="AA59" s="35">
        <v>0.0</v>
      </c>
    </row>
    <row r="60" ht="14.25" customHeight="1" outlineLevel="2">
      <c r="B60" s="31" t="s">
        <v>55</v>
      </c>
      <c r="D60" s="32">
        <v>0.0</v>
      </c>
      <c r="E60" s="32">
        <v>0.0</v>
      </c>
      <c r="F60" s="32">
        <v>60.0</v>
      </c>
      <c r="G60" s="32">
        <v>60.0</v>
      </c>
      <c r="I60" s="32">
        <v>60.0</v>
      </c>
      <c r="J60" s="32">
        <v>60.0</v>
      </c>
      <c r="K60" s="32">
        <v>60.0</v>
      </c>
      <c r="L60" s="32">
        <v>60.0</v>
      </c>
      <c r="N60" s="32">
        <v>0.0</v>
      </c>
      <c r="O60" s="32">
        <v>0.0</v>
      </c>
      <c r="P60" s="32">
        <v>0.0</v>
      </c>
      <c r="Q60" s="32">
        <v>0.0</v>
      </c>
      <c r="R60" s="15"/>
      <c r="S60" s="35">
        <v>0.0</v>
      </c>
      <c r="T60" s="35">
        <v>0.0</v>
      </c>
      <c r="U60" s="35">
        <v>0.0</v>
      </c>
      <c r="V60" s="35">
        <v>0.0</v>
      </c>
      <c r="W60" s="39"/>
      <c r="X60" s="35">
        <v>0.0</v>
      </c>
      <c r="Y60" s="35">
        <v>0.0</v>
      </c>
      <c r="Z60" s="35">
        <v>0.0</v>
      </c>
      <c r="AA60" s="35">
        <v>0.0</v>
      </c>
    </row>
    <row r="61" ht="14.25" customHeight="1" outlineLevel="2">
      <c r="B61" s="31" t="s">
        <v>56</v>
      </c>
      <c r="D61" s="32">
        <v>0.0</v>
      </c>
      <c r="E61" s="32">
        <v>0.0</v>
      </c>
      <c r="F61" s="32">
        <v>0.0</v>
      </c>
      <c r="G61" s="32">
        <v>0.0</v>
      </c>
      <c r="I61" s="32">
        <v>7.25</v>
      </c>
      <c r="J61" s="32">
        <v>7.25</v>
      </c>
      <c r="K61" s="32">
        <v>7.25</v>
      </c>
      <c r="L61" s="32">
        <v>7.25</v>
      </c>
      <c r="N61" s="32">
        <v>30.0</v>
      </c>
      <c r="O61" s="32">
        <v>30.0</v>
      </c>
      <c r="P61" s="32">
        <v>30.0</v>
      </c>
      <c r="Q61" s="32">
        <v>30.0</v>
      </c>
      <c r="R61" s="15"/>
      <c r="S61" s="35">
        <v>30.0</v>
      </c>
      <c r="T61" s="35">
        <v>30.0</v>
      </c>
      <c r="U61" s="35">
        <v>30.0</v>
      </c>
      <c r="V61" s="35">
        <v>30.0</v>
      </c>
      <c r="W61" s="39"/>
      <c r="X61" s="35">
        <v>30.0</v>
      </c>
      <c r="Y61" s="35">
        <v>30.0</v>
      </c>
      <c r="Z61" s="35">
        <v>30.0</v>
      </c>
      <c r="AA61" s="35">
        <v>30.0</v>
      </c>
    </row>
    <row r="62" ht="14.25" customHeight="1" outlineLevel="1">
      <c r="B62" s="48" t="s">
        <v>57</v>
      </c>
      <c r="D62" s="28">
        <f t="shared" ref="D62:G62" si="100">SUM(D63:D64)</f>
        <v>3000</v>
      </c>
      <c r="E62" s="28">
        <f t="shared" si="100"/>
        <v>3000</v>
      </c>
      <c r="F62" s="28">
        <f t="shared" si="100"/>
        <v>3000</v>
      </c>
      <c r="G62" s="28">
        <f t="shared" si="100"/>
        <v>3000</v>
      </c>
      <c r="I62" s="28">
        <f t="shared" ref="I62:L62" si="101">SUM(I63:I64)</f>
        <v>3000</v>
      </c>
      <c r="J62" s="28">
        <f t="shared" si="101"/>
        <v>3000</v>
      </c>
      <c r="K62" s="28">
        <f t="shared" si="101"/>
        <v>3000</v>
      </c>
      <c r="L62" s="28">
        <f t="shared" si="101"/>
        <v>3000</v>
      </c>
      <c r="N62" s="28">
        <f t="shared" ref="N62:Q62" si="102">SUM(N63:N64)</f>
        <v>3000</v>
      </c>
      <c r="O62" s="28">
        <f t="shared" si="102"/>
        <v>3000</v>
      </c>
      <c r="P62" s="28">
        <f t="shared" si="102"/>
        <v>3000</v>
      </c>
      <c r="Q62" s="28">
        <f t="shared" si="102"/>
        <v>3000</v>
      </c>
      <c r="R62" s="15"/>
      <c r="S62" s="29">
        <f t="shared" ref="S62:V62" si="103">SUM(S63:S64)</f>
        <v>3000</v>
      </c>
      <c r="T62" s="29">
        <f t="shared" si="103"/>
        <v>3000</v>
      </c>
      <c r="U62" s="29">
        <f t="shared" si="103"/>
        <v>3000</v>
      </c>
      <c r="V62" s="29">
        <f t="shared" si="103"/>
        <v>3000</v>
      </c>
      <c r="W62" s="30"/>
      <c r="X62" s="29">
        <f t="shared" ref="X62:AA62" si="104">SUM(X63:X64)</f>
        <v>3000</v>
      </c>
      <c r="Y62" s="29">
        <f t="shared" si="104"/>
        <v>3000</v>
      </c>
      <c r="Z62" s="29">
        <f t="shared" si="104"/>
        <v>3000</v>
      </c>
      <c r="AA62" s="29">
        <f t="shared" si="104"/>
        <v>3000</v>
      </c>
    </row>
    <row r="63" ht="14.25" customHeight="1" outlineLevel="2">
      <c r="B63" s="31" t="s">
        <v>58</v>
      </c>
      <c r="D63" s="32">
        <v>3000.0</v>
      </c>
      <c r="E63" s="32">
        <v>3000.0</v>
      </c>
      <c r="F63" s="32">
        <v>3000.0</v>
      </c>
      <c r="G63" s="32">
        <v>3000.0</v>
      </c>
      <c r="I63" s="32">
        <v>3000.0</v>
      </c>
      <c r="J63" s="32">
        <v>3000.0</v>
      </c>
      <c r="K63" s="32">
        <v>3000.0</v>
      </c>
      <c r="L63" s="32">
        <v>3000.0</v>
      </c>
      <c r="N63" s="32">
        <v>3000.0</v>
      </c>
      <c r="O63" s="32">
        <v>3000.0</v>
      </c>
      <c r="P63" s="32">
        <v>3000.0</v>
      </c>
      <c r="Q63" s="32">
        <v>3000.0</v>
      </c>
      <c r="R63" s="15"/>
      <c r="S63" s="35">
        <v>3000.0</v>
      </c>
      <c r="T63" s="35">
        <v>3000.0</v>
      </c>
      <c r="U63" s="35">
        <v>3000.0</v>
      </c>
      <c r="V63" s="35">
        <v>3000.0</v>
      </c>
      <c r="W63" s="39"/>
      <c r="X63" s="35">
        <v>3000.0</v>
      </c>
      <c r="Y63" s="35">
        <v>3000.0</v>
      </c>
      <c r="Z63" s="35">
        <v>3000.0</v>
      </c>
      <c r="AA63" s="35">
        <v>3000.0</v>
      </c>
    </row>
    <row r="64" ht="14.25" customHeight="1" outlineLevel="2">
      <c r="B64" s="59" t="s">
        <v>59</v>
      </c>
      <c r="D64" s="32">
        <v>0.0</v>
      </c>
      <c r="E64" s="32">
        <v>0.0</v>
      </c>
      <c r="F64" s="32">
        <v>0.0</v>
      </c>
      <c r="G64" s="32">
        <v>0.0</v>
      </c>
      <c r="I64" s="33"/>
      <c r="J64" s="33"/>
      <c r="K64" s="33"/>
      <c r="L64" s="33"/>
      <c r="N64" s="33"/>
      <c r="O64" s="33"/>
      <c r="P64" s="33"/>
      <c r="Q64" s="33"/>
      <c r="R64" s="15"/>
      <c r="S64" s="42"/>
      <c r="T64" s="42"/>
      <c r="U64" s="42"/>
      <c r="V64" s="42"/>
      <c r="W64" s="15"/>
      <c r="X64" s="42"/>
      <c r="Y64" s="42"/>
      <c r="Z64" s="42"/>
      <c r="AA64" s="42"/>
    </row>
    <row r="65" ht="14.25" customHeight="1" outlineLevel="1">
      <c r="B65" s="48" t="s">
        <v>60</v>
      </c>
      <c r="D65" s="28">
        <f t="shared" ref="D65:G65" si="105">SUM(D66:D67)</f>
        <v>0</v>
      </c>
      <c r="E65" s="28">
        <f t="shared" si="105"/>
        <v>0</v>
      </c>
      <c r="F65" s="28">
        <f t="shared" si="105"/>
        <v>0</v>
      </c>
      <c r="G65" s="28">
        <f t="shared" si="105"/>
        <v>0</v>
      </c>
      <c r="I65" s="28">
        <f t="shared" ref="I65:L65" si="106">SUM(I66:I67)</f>
        <v>0</v>
      </c>
      <c r="J65" s="28">
        <f t="shared" si="106"/>
        <v>0</v>
      </c>
      <c r="K65" s="28">
        <f t="shared" si="106"/>
        <v>0</v>
      </c>
      <c r="L65" s="28">
        <f t="shared" si="106"/>
        <v>0</v>
      </c>
      <c r="N65" s="28">
        <f t="shared" ref="N65:Q65" si="107">SUM(N66:N67)</f>
        <v>0</v>
      </c>
      <c r="O65" s="28">
        <f t="shared" si="107"/>
        <v>0</v>
      </c>
      <c r="P65" s="28">
        <f t="shared" si="107"/>
        <v>0</v>
      </c>
      <c r="Q65" s="28">
        <f t="shared" si="107"/>
        <v>0</v>
      </c>
      <c r="R65" s="15"/>
      <c r="S65" s="29">
        <f t="shared" ref="S65:V65" si="108">SUM(S66:S67)</f>
        <v>0</v>
      </c>
      <c r="T65" s="29">
        <f t="shared" si="108"/>
        <v>0</v>
      </c>
      <c r="U65" s="29">
        <f t="shared" si="108"/>
        <v>0</v>
      </c>
      <c r="V65" s="29">
        <f t="shared" si="108"/>
        <v>0</v>
      </c>
      <c r="W65" s="30"/>
      <c r="X65" s="29">
        <f t="shared" ref="X65:AA65" si="109">SUM(X66:X67)</f>
        <v>0</v>
      </c>
      <c r="Y65" s="29">
        <f t="shared" si="109"/>
        <v>0</v>
      </c>
      <c r="Z65" s="29">
        <f t="shared" si="109"/>
        <v>0</v>
      </c>
      <c r="AA65" s="29">
        <f t="shared" si="109"/>
        <v>0</v>
      </c>
    </row>
    <row r="66" ht="14.25" customHeight="1" outlineLevel="2">
      <c r="B66" s="59" t="s">
        <v>61</v>
      </c>
      <c r="D66" s="32">
        <v>0.0</v>
      </c>
      <c r="E66" s="32">
        <v>0.0</v>
      </c>
      <c r="F66" s="32">
        <v>0.0</v>
      </c>
      <c r="G66" s="32">
        <v>0.0</v>
      </c>
      <c r="I66" s="33"/>
      <c r="J66" s="33"/>
      <c r="K66" s="33"/>
      <c r="L66" s="33"/>
      <c r="N66" s="33"/>
      <c r="O66" s="33"/>
      <c r="P66" s="33"/>
      <c r="Q66" s="33"/>
      <c r="R66" s="15"/>
      <c r="S66" s="42"/>
      <c r="T66" s="42"/>
      <c r="U66" s="42"/>
      <c r="V66" s="42"/>
      <c r="W66" s="15"/>
      <c r="X66" s="42"/>
      <c r="Y66" s="42"/>
      <c r="Z66" s="42"/>
      <c r="AA66" s="42"/>
    </row>
    <row r="67" ht="14.25" customHeight="1" outlineLevel="2">
      <c r="B67" s="59" t="s">
        <v>62</v>
      </c>
      <c r="D67" s="32">
        <v>0.0</v>
      </c>
      <c r="E67" s="32">
        <v>0.0</v>
      </c>
      <c r="F67" s="32">
        <v>0.0</v>
      </c>
      <c r="G67" s="32">
        <v>0.0</v>
      </c>
      <c r="I67" s="33"/>
      <c r="J67" s="33"/>
      <c r="K67" s="33"/>
      <c r="L67" s="33"/>
      <c r="N67" s="33"/>
      <c r="O67" s="33"/>
      <c r="P67" s="33"/>
      <c r="Q67" s="33"/>
      <c r="R67" s="15"/>
      <c r="S67" s="42"/>
      <c r="T67" s="42"/>
      <c r="U67" s="42"/>
      <c r="V67" s="42"/>
      <c r="W67" s="15"/>
      <c r="X67" s="42"/>
      <c r="Y67" s="42"/>
      <c r="Z67" s="42"/>
      <c r="AA67" s="42"/>
    </row>
    <row r="68" ht="6.75" customHeight="1">
      <c r="D68" s="46"/>
      <c r="E68" s="46"/>
      <c r="F68" s="46"/>
      <c r="G68" s="46"/>
      <c r="I68" s="46"/>
      <c r="J68" s="46"/>
      <c r="K68" s="46"/>
      <c r="L68" s="46"/>
      <c r="N68" s="46"/>
      <c r="O68" s="46"/>
      <c r="P68" s="46"/>
      <c r="Q68" s="46"/>
      <c r="R68" s="47"/>
      <c r="S68" s="47"/>
      <c r="T68" s="47"/>
      <c r="U68" s="47"/>
      <c r="V68" s="47"/>
      <c r="W68" s="47"/>
      <c r="X68" s="47"/>
      <c r="Y68" s="47"/>
      <c r="Z68" s="47"/>
      <c r="AA68" s="47"/>
    </row>
    <row r="69" ht="14.25" customHeight="1">
      <c r="B69" s="56" t="s">
        <v>63</v>
      </c>
      <c r="D69" s="24">
        <f t="shared" ref="D69:G69" si="110">SUM(D70:D72)</f>
        <v>0</v>
      </c>
      <c r="E69" s="24">
        <f t="shared" si="110"/>
        <v>0</v>
      </c>
      <c r="F69" s="24">
        <f t="shared" si="110"/>
        <v>0</v>
      </c>
      <c r="G69" s="24">
        <f t="shared" si="110"/>
        <v>0</v>
      </c>
      <c r="I69" s="24">
        <f t="shared" ref="I69:L69" si="111">SUM(I70:I72)</f>
        <v>0</v>
      </c>
      <c r="J69" s="24">
        <f t="shared" si="111"/>
        <v>0</v>
      </c>
      <c r="K69" s="24">
        <f t="shared" si="111"/>
        <v>0</v>
      </c>
      <c r="L69" s="24">
        <f t="shared" si="111"/>
        <v>0</v>
      </c>
      <c r="N69" s="24">
        <f t="shared" ref="N69:Q69" si="112">SUM(N70:N72)</f>
        <v>0</v>
      </c>
      <c r="O69" s="24">
        <f t="shared" si="112"/>
        <v>0</v>
      </c>
      <c r="P69" s="24">
        <f t="shared" si="112"/>
        <v>0</v>
      </c>
      <c r="Q69" s="24">
        <f t="shared" si="112"/>
        <v>0</v>
      </c>
      <c r="R69" s="15"/>
      <c r="S69" s="25">
        <f t="shared" ref="S69:V69" si="113">SUM(S70:S72)</f>
        <v>0</v>
      </c>
      <c r="T69" s="25">
        <f t="shared" si="113"/>
        <v>0</v>
      </c>
      <c r="U69" s="25">
        <f t="shared" si="113"/>
        <v>0</v>
      </c>
      <c r="V69" s="25">
        <f t="shared" si="113"/>
        <v>0</v>
      </c>
      <c r="W69" s="26"/>
      <c r="X69" s="25">
        <f t="shared" ref="X69:AA69" si="114">SUM(X70:X72)</f>
        <v>0</v>
      </c>
      <c r="Y69" s="25">
        <f t="shared" si="114"/>
        <v>0</v>
      </c>
      <c r="Z69" s="25">
        <f t="shared" si="114"/>
        <v>0</v>
      </c>
      <c r="AA69" s="25">
        <f t="shared" si="114"/>
        <v>0</v>
      </c>
    </row>
    <row r="70" ht="14.25" customHeight="1" outlineLevel="1">
      <c r="B70" s="57" t="s">
        <v>64</v>
      </c>
      <c r="D70" s="32">
        <v>0.0</v>
      </c>
      <c r="E70" s="32">
        <v>0.0</v>
      </c>
      <c r="F70" s="32">
        <v>0.0</v>
      </c>
      <c r="G70" s="32">
        <v>0.0</v>
      </c>
      <c r="I70" s="33"/>
      <c r="J70" s="33"/>
      <c r="K70" s="33"/>
      <c r="L70" s="33"/>
      <c r="N70" s="33"/>
      <c r="O70" s="33"/>
      <c r="P70" s="33"/>
      <c r="Q70" s="33"/>
      <c r="R70" s="15"/>
      <c r="S70" s="42"/>
      <c r="T70" s="42"/>
      <c r="U70" s="42"/>
      <c r="V70" s="42"/>
      <c r="W70" s="15"/>
      <c r="X70" s="42"/>
      <c r="Y70" s="42"/>
      <c r="Z70" s="42"/>
      <c r="AA70" s="42"/>
    </row>
    <row r="71" ht="14.25" customHeight="1" outlineLevel="1">
      <c r="B71" s="57" t="s">
        <v>64</v>
      </c>
      <c r="D71" s="32">
        <v>0.0</v>
      </c>
      <c r="E71" s="32">
        <v>0.0</v>
      </c>
      <c r="F71" s="32">
        <v>0.0</v>
      </c>
      <c r="G71" s="32">
        <v>0.0</v>
      </c>
      <c r="I71" s="33"/>
      <c r="J71" s="33"/>
      <c r="K71" s="33"/>
      <c r="L71" s="33"/>
      <c r="N71" s="33"/>
      <c r="O71" s="33"/>
      <c r="P71" s="33"/>
      <c r="Q71" s="33"/>
      <c r="R71" s="15"/>
      <c r="S71" s="42"/>
      <c r="T71" s="42"/>
      <c r="U71" s="42"/>
      <c r="V71" s="42"/>
      <c r="W71" s="15"/>
      <c r="X71" s="42"/>
      <c r="Y71" s="42"/>
      <c r="Z71" s="42"/>
      <c r="AA71" s="42"/>
    </row>
    <row r="72" ht="14.25" customHeight="1" outlineLevel="1">
      <c r="B72" s="57" t="s">
        <v>65</v>
      </c>
      <c r="D72" s="32">
        <v>0.0</v>
      </c>
      <c r="E72" s="32">
        <v>0.0</v>
      </c>
      <c r="F72" s="32">
        <v>0.0</v>
      </c>
      <c r="G72" s="32">
        <v>0.0</v>
      </c>
      <c r="I72" s="33"/>
      <c r="J72" s="33"/>
      <c r="K72" s="33"/>
      <c r="L72" s="33"/>
      <c r="N72" s="33"/>
      <c r="O72" s="33"/>
      <c r="P72" s="33"/>
      <c r="Q72" s="33"/>
      <c r="R72" s="15"/>
      <c r="S72" s="42"/>
      <c r="T72" s="42"/>
      <c r="U72" s="42"/>
      <c r="V72" s="42"/>
      <c r="W72" s="15"/>
      <c r="X72" s="42"/>
      <c r="Y72" s="42"/>
      <c r="Z72" s="42"/>
      <c r="AA72" s="42"/>
    </row>
    <row r="73" ht="14.25" customHeight="1"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4.25" customHeight="1"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4.25" customHeight="1"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4.25" customHeight="1"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4.25" customHeight="1"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4.25" customHeight="1"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4.25" customHeight="1"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4.25" customHeight="1"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4.25" customHeight="1"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4.25" customHeight="1"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4.25" customHeight="1"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4.25" customHeight="1"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4.25" customHeight="1"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4.25" customHeight="1"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4.25" customHeight="1"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4.25" customHeight="1"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4.25" customHeight="1"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4.25" customHeight="1"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4.25" customHeight="1"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4.25" customHeight="1"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4.25" customHeight="1"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4.25" customHeight="1"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4.25" customHeight="1"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4.25" customHeight="1"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4.25" customHeight="1"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4.25" customHeight="1"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4.25" customHeight="1"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4.25" customHeight="1"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4.25" customHeight="1"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4.25" customHeight="1"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4.25" customHeight="1"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4.25" customHeight="1"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4.25" customHeight="1"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4.25" customHeight="1"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4.25" customHeight="1"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4.25" customHeight="1"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4.25" customHeight="1"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4.25" customHeight="1"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4.25" customHeight="1"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4.25" customHeight="1"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4.25" customHeight="1"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4.25" customHeight="1"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4.25" customHeight="1"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4.25" customHeight="1"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4.25" customHeight="1"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4.25" customHeight="1"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4.25" customHeight="1"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4.25" customHeight="1"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4.25" customHeight="1"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4.25" customHeight="1"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4.25" customHeight="1"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4.25" customHeight="1"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4.25" customHeight="1"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4.25" customHeight="1"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4.25" customHeight="1"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4.25" customHeight="1"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4.25" customHeight="1"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4.25" customHeight="1"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4.25" customHeight="1"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4.25" customHeight="1"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4.25" customHeight="1"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4.25" customHeight="1"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4.25" customHeight="1"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4.25" customHeight="1"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4.25" customHeight="1"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4.25" customHeight="1"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4.25" customHeight="1"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4.25" customHeight="1"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4.25" customHeight="1"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4.25" customHeight="1"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4.25" customHeight="1"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4.25" customHeight="1"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4.25" customHeight="1"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4.25" customHeight="1"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4.25" customHeight="1"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4.25" customHeight="1"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4.25" customHeight="1"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4.25" customHeight="1"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4.25" customHeight="1"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4.25" customHeight="1"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4.25" customHeight="1"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4.25" customHeight="1"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4.25" customHeight="1"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4.25" customHeight="1"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4.25" customHeight="1"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4.25" customHeight="1"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4.25" customHeight="1"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4.25" customHeight="1"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4.25" customHeight="1"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4.25" customHeight="1"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4.25" customHeight="1"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4.25" customHeight="1"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4.25" customHeight="1"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4.25" customHeight="1"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4.25" customHeight="1"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4.25" customHeight="1"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4.25" customHeight="1"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4.25" customHeight="1"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4.25" customHeight="1"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4.25" customHeight="1"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4.25" customHeight="1"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4.25" customHeight="1"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4.25" customHeight="1"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4.25" customHeight="1"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4.25" customHeight="1"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4.25" customHeight="1"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4.25" customHeight="1"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4.25" customHeight="1"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4.25" customHeight="1"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4.25" customHeight="1"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4.25" customHeight="1"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4.25" customHeight="1"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4.25" customHeight="1"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4.25" customHeight="1"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4.25" customHeight="1"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4.25" customHeight="1"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4.25" customHeight="1"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4.25" customHeight="1"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4.25" customHeight="1"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4.25" customHeight="1"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4.25" customHeight="1"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4.25" customHeight="1"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4.25" customHeight="1"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4.25" customHeight="1"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4.25" customHeight="1"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4.25" customHeight="1"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4.25" customHeight="1"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4.25" customHeight="1"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4.25" customHeight="1"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4.25" customHeight="1"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4.25" customHeight="1"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4.25" customHeight="1"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4.25" customHeight="1"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4.25" customHeight="1"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4.25" customHeight="1"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4.25" customHeight="1"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4.25" customHeight="1"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4.25" customHeight="1"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4.25" customHeight="1"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4.25" customHeight="1"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4.25" customHeight="1"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4.25" customHeight="1"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4.25" customHeight="1"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4.25" customHeight="1"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4.25" customHeight="1"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4.25" customHeight="1"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4.25" customHeight="1"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4.25" customHeight="1"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4.25" customHeight="1"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4.25" customHeight="1"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4.25" customHeight="1"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4.25" customHeight="1"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4.25" customHeight="1"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4.25" customHeight="1"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4.25" customHeight="1"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4.25" customHeight="1"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4.25" customHeight="1"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4.25" customHeight="1"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4.25" customHeight="1"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4.25" customHeight="1"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4.25" customHeight="1"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4.25" customHeight="1"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4.25" customHeight="1"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4.25" customHeight="1"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4.25" customHeight="1"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4.25" customHeight="1"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4.25" customHeight="1"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4.25" customHeight="1"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4.25" customHeight="1"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4.25" customHeight="1"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4.25" customHeight="1"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4.25" customHeight="1"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4.25" customHeight="1"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4.25" customHeight="1"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4.25" customHeight="1"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4.25" customHeight="1"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4.25" customHeight="1"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4.25" customHeight="1"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4.25" customHeight="1"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4.25" customHeight="1"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4.25" customHeight="1"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4.25" customHeight="1"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4.25" customHeight="1"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4.25" customHeight="1"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4.25" customHeight="1"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4.25" customHeight="1"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4.25" customHeight="1"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4.25" customHeight="1"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4.25" customHeight="1"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4.25" customHeight="1"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4.25" customHeight="1"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4.25" customHeight="1"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4.25" customHeight="1"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4.25" customHeight="1"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4.25" customHeight="1"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4.25" customHeight="1"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4.25" customHeight="1"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4.25" customHeight="1"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4.25" customHeight="1"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4.25" customHeight="1"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4.25" customHeight="1"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4.25" customHeight="1"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4.25" customHeight="1"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4.25" customHeight="1"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4.25" customHeight="1"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4.25" customHeight="1"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4.25" customHeight="1"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4.25" customHeight="1"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4.25" customHeight="1"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4.25" customHeight="1"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4.25" customHeight="1"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4.25" customHeight="1"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4.25" customHeight="1"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4.25" customHeight="1"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4.25" customHeight="1"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4.25" customHeight="1"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4.25" customHeight="1"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4.25" customHeight="1"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4.25" customHeight="1"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4.25" customHeight="1"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4.25" customHeight="1"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4.25" customHeight="1"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4.25" customHeight="1"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4.25" customHeight="1"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4.25" customHeight="1"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4.25" customHeight="1"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4.25" customHeight="1"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4.25" customHeight="1"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4.25" customHeight="1"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4.25" customHeight="1"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4.25" customHeight="1"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4.25" customHeight="1"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4.25" customHeight="1"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4.25" customHeight="1"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4.25" customHeight="1"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4.25" customHeight="1"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4.25" customHeight="1"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4.25" customHeight="1"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4.25" customHeight="1"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4.25" customHeight="1"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4.25" customHeight="1"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4.25" customHeight="1"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4.25" customHeight="1"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4.25" customHeight="1"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4.25" customHeight="1"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4.25" customHeight="1"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4.25" customHeight="1"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4.25" customHeight="1"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4.25" customHeight="1"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4.25" customHeight="1"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4.25" customHeight="1"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4.25" customHeight="1"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4.25" customHeight="1"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4.25" customHeight="1"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4.25" customHeight="1"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4.25" customHeight="1"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4.25" customHeight="1"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4.25" customHeight="1"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4.25" customHeight="1"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4.25" customHeight="1"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4.25" customHeight="1"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4.25" customHeight="1"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4.25" customHeight="1"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4.25" customHeight="1"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4.25" customHeight="1"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4.25" customHeight="1"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4.25" customHeight="1"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4.25" customHeight="1"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4.25" customHeight="1"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4.25" customHeight="1"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4.25" customHeight="1"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4.25" customHeight="1"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4.25" customHeight="1"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4.25" customHeight="1"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4.25" customHeight="1"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4.25" customHeight="1"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4.25" customHeight="1"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4.25" customHeight="1"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4.25" customHeight="1"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4.25" customHeight="1"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4.25" customHeight="1"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4.25" customHeight="1"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4.25" customHeight="1"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4.25" customHeight="1"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4.25" customHeight="1"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4.25" customHeight="1"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4.25" customHeight="1"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4.25" customHeight="1"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4.25" customHeight="1"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4.25" customHeight="1"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4.25" customHeight="1"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4.25" customHeight="1"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4.25" customHeight="1"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4.25" customHeight="1"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4.25" customHeight="1"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4.25" customHeight="1"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4.25" customHeight="1"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4.25" customHeight="1"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4.25" customHeight="1"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4.25" customHeight="1"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4.25" customHeight="1"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4.25" customHeight="1"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4.25" customHeight="1"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4.25" customHeight="1"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4.25" customHeight="1"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4.25" customHeight="1"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4.25" customHeight="1"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4.25" customHeight="1"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4.25" customHeight="1"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4.25" customHeight="1"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4.25" customHeight="1"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4.25" customHeight="1"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4.25" customHeight="1"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4.25" customHeight="1"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4.25" customHeight="1"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4.25" customHeight="1"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4.25" customHeight="1"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4.25" customHeight="1"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4.25" customHeight="1"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4.25" customHeight="1"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4.25" customHeight="1"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4.25" customHeight="1"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4.25" customHeight="1"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4.25" customHeight="1"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4.25" customHeight="1"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4.25" customHeight="1"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4.25" customHeight="1"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4.25" customHeight="1"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4.25" customHeight="1"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4.25" customHeight="1"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4.25" customHeight="1"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4.25" customHeight="1"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4.25" customHeight="1"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4.25" customHeight="1"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4.25" customHeight="1"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4.25" customHeight="1"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4.25" customHeight="1"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4.25" customHeight="1"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4.25" customHeight="1"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4.25" customHeight="1"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4.25" customHeight="1"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4.25" customHeight="1"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4.25" customHeight="1"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4.25" customHeight="1"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4.25" customHeight="1"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4.25" customHeight="1"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4.25" customHeight="1"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4.25" customHeight="1"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4.25" customHeight="1"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4.25" customHeight="1"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4.25" customHeight="1"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4.25" customHeight="1"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4.25" customHeight="1"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4.25" customHeight="1"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4.25" customHeight="1"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4.25" customHeight="1"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4.25" customHeight="1"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4.25" customHeight="1"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4.25" customHeight="1"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4.25" customHeight="1"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4.25" customHeight="1"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4.25" customHeight="1"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4.25" customHeight="1"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4.25" customHeight="1"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4.25" customHeight="1"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4.25" customHeight="1"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4.25" customHeight="1"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4.25" customHeight="1"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4.25" customHeight="1"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4.25" customHeight="1"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4.25" customHeight="1"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4.25" customHeight="1"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4.25" customHeight="1"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4.25" customHeight="1"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4.25" customHeight="1"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4.25" customHeight="1"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4.25" customHeight="1"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4.25" customHeight="1"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4.25" customHeight="1"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4.25" customHeight="1"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4.25" customHeight="1"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4.25" customHeight="1"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4.25" customHeight="1"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4.25" customHeight="1"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4.25" customHeight="1"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4.25" customHeight="1"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4.25" customHeight="1"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4.25" customHeight="1"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4.25" customHeight="1"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4.25" customHeight="1"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4.25" customHeight="1"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4.25" customHeight="1"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4.25" customHeight="1"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4.25" customHeight="1"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4.25" customHeight="1"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4.25" customHeight="1"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4.25" customHeight="1"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4.25" customHeight="1"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4.25" customHeight="1"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4.25" customHeight="1"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4.25" customHeight="1"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4.25" customHeight="1"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4.25" customHeight="1"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4.25" customHeight="1"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4.25" customHeight="1"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4.25" customHeight="1"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4.25" customHeight="1"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4.25" customHeight="1"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4.25" customHeight="1"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4.25" customHeight="1"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4.25" customHeight="1"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4.25" customHeight="1"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4.25" customHeight="1"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4.25" customHeight="1"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4.25" customHeight="1"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4.25" customHeight="1"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4.25" customHeight="1"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4.25" customHeight="1"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4.25" customHeight="1"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4.25" customHeight="1"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4.25" customHeight="1"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4.25" customHeight="1"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4.25" customHeight="1"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4.25" customHeight="1"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4.25" customHeight="1"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4.25" customHeight="1"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4.25" customHeight="1"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4.25" customHeight="1"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4.25" customHeight="1"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4.25" customHeight="1"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4.25" customHeight="1"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4.25" customHeight="1"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4.25" customHeight="1"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4.25" customHeight="1"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4.25" customHeight="1"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4.25" customHeight="1"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4.25" customHeight="1"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4.25" customHeight="1"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4.25" customHeight="1"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4.25" customHeight="1"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4.25" customHeight="1"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4.25" customHeight="1"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4.25" customHeight="1"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4.25" customHeight="1"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4.25" customHeight="1"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4.25" customHeight="1"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4.25" customHeight="1"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4.25" customHeight="1"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4.25" customHeight="1"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4.25" customHeight="1"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4.25" customHeight="1"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4.25" customHeight="1"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4.25" customHeight="1"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4.25" customHeight="1"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4.25" customHeight="1"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4.25" customHeight="1"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4.25" customHeight="1"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4.25" customHeight="1"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4.25" customHeight="1"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4.25" customHeight="1"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4.25" customHeight="1"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4.25" customHeight="1"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4.25" customHeight="1"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4.25" customHeight="1"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4.25" customHeight="1"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4.25" customHeight="1"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4.25" customHeight="1"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4.25" customHeight="1"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4.25" customHeight="1"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4.25" customHeight="1"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4.25" customHeight="1"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4.25" customHeight="1"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4.25" customHeight="1"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4.25" customHeight="1"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4.25" customHeight="1"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4.25" customHeight="1"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4.25" customHeight="1"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4.25" customHeight="1"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4.25" customHeight="1"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4.25" customHeight="1"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4.25" customHeight="1"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4.25" customHeight="1"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4.25" customHeight="1"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4.25" customHeight="1"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4.25" customHeight="1"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4.25" customHeight="1"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4.25" customHeight="1"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4.25" customHeight="1"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4.25" customHeight="1"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4.25" customHeight="1"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4.25" customHeight="1"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4.25" customHeight="1"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4.25" customHeight="1"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4.25" customHeight="1"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4.25" customHeight="1"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4.25" customHeight="1"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4.25" customHeight="1"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4.25" customHeight="1"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4.25" customHeight="1"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4.25" customHeight="1"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4.25" customHeight="1"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4.25" customHeight="1"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4.25" customHeight="1"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4.25" customHeight="1"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4.25" customHeight="1"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4.25" customHeight="1"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4.25" customHeight="1"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4.25" customHeight="1"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4.25" customHeight="1"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4.25" customHeight="1"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4.25" customHeight="1"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4.25" customHeight="1"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4.25" customHeight="1"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4.25" customHeight="1"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4.25" customHeight="1"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4.25" customHeight="1"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4.25" customHeight="1"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4.25" customHeight="1"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4.25" customHeight="1"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4.25" customHeight="1"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4.25" customHeight="1"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4.25" customHeight="1"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4.25" customHeight="1"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4.25" customHeight="1"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4.25" customHeight="1"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4.25" customHeight="1"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4.25" customHeight="1"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4.25" customHeight="1"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4.25" customHeight="1"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4.25" customHeight="1"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4.25" customHeight="1"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4.25" customHeight="1"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4.25" customHeight="1"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4.25" customHeight="1"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4.25" customHeight="1"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4.25" customHeight="1"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4.25" customHeight="1"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4.25" customHeight="1"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4.25" customHeight="1"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4.25" customHeight="1"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4.25" customHeight="1"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4.25" customHeight="1"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4.25" customHeight="1"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4.25" customHeight="1"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4.25" customHeight="1"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4.25" customHeight="1"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4.25" customHeight="1"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4.25" customHeight="1"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4.25" customHeight="1"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4.25" customHeight="1"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4.25" customHeight="1"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4.25" customHeight="1"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4.25" customHeight="1"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4.25" customHeight="1"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4.25" customHeight="1"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4.25" customHeight="1"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4.25" customHeight="1"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4.25" customHeight="1"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4.25" customHeight="1"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4.25" customHeight="1"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4.25" customHeight="1"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4.25" customHeight="1"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4.25" customHeight="1"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4.25" customHeight="1"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4.25" customHeight="1"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4.25" customHeight="1"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4.25" customHeight="1"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4.25" customHeight="1"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4.25" customHeight="1"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4.25" customHeight="1"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4.25" customHeight="1"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4.25" customHeight="1"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4.25" customHeight="1"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4.25" customHeight="1"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4.25" customHeight="1"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4.25" customHeight="1"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4.25" customHeight="1"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4.25" customHeight="1"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4.25" customHeight="1"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4.25" customHeight="1"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4.25" customHeight="1"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4.25" customHeight="1"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4.25" customHeight="1"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4.25" customHeight="1"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4.25" customHeight="1"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4.25" customHeight="1"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4.25" customHeight="1"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4.25" customHeight="1"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4.25" customHeight="1"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4.25" customHeight="1"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4.25" customHeight="1"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4.25" customHeight="1"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4.25" customHeight="1"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4.25" customHeight="1"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4.25" customHeight="1"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4.25" customHeight="1"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4.25" customHeight="1"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4.25" customHeight="1"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4.25" customHeight="1"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4.25" customHeight="1"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4.25" customHeight="1"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4.25" customHeight="1"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4.25" customHeight="1"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4.25" customHeight="1"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4.25" customHeight="1"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4.25" customHeight="1"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4.25" customHeight="1"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4.25" customHeight="1"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4.25" customHeight="1"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4.25" customHeight="1"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4.25" customHeight="1"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4.25" customHeight="1"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4.25" customHeight="1"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4.25" customHeight="1"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4.25" customHeight="1"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4.25" customHeight="1"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4.25" customHeight="1"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4.25" customHeight="1"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4.25" customHeight="1"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4.25" customHeight="1"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4.25" customHeight="1"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4.25" customHeight="1"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4.25" customHeight="1"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4.25" customHeight="1"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4.25" customHeight="1"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4.25" customHeight="1"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4.25" customHeight="1"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4.25" customHeight="1"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4.25" customHeight="1"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4.25" customHeight="1"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4.25" customHeight="1"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4.25" customHeight="1"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4.25" customHeight="1"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4.25" customHeight="1"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4.25" customHeight="1"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4.25" customHeight="1"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4.25" customHeight="1"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4.25" customHeight="1"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4.25" customHeight="1"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4.25" customHeight="1"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4.25" customHeight="1"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4.25" customHeight="1"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4.25" customHeight="1"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4.25" customHeight="1"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4.25" customHeight="1"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4.25" customHeight="1"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4.25" customHeight="1"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4.25" customHeight="1"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4.25" customHeight="1"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4.25" customHeight="1"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4.25" customHeight="1"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4.25" customHeight="1"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4.25" customHeight="1"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4.25" customHeight="1"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4.25" customHeight="1"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4.25" customHeight="1"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4.25" customHeight="1"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4.25" customHeight="1"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4.25" customHeight="1"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4.25" customHeight="1"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4.25" customHeight="1"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4.25" customHeight="1"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4.25" customHeight="1"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4.25" customHeight="1"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4.25" customHeight="1"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4.25" customHeight="1"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4.25" customHeight="1"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4.25" customHeight="1"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4.25" customHeight="1"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4.25" customHeight="1"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4.25" customHeight="1"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4.25" customHeight="1"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4.25" customHeight="1"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4.25" customHeight="1"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4.25" customHeight="1"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4.25" customHeight="1"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4.25" customHeight="1"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4.25" customHeight="1"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4.25" customHeight="1"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4.25" customHeight="1"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4.25" customHeight="1"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4.25" customHeight="1"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4.25" customHeight="1"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4.25" customHeight="1"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4.25" customHeight="1"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4.25" customHeight="1"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4.25" customHeight="1"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4.25" customHeight="1"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4.25" customHeight="1"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4.25" customHeight="1"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4.25" customHeight="1"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4.25" customHeight="1"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4.25" customHeight="1"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4.25" customHeight="1"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4.25" customHeight="1"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4.25" customHeight="1"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4.25" customHeight="1"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4.25" customHeight="1"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4.25" customHeight="1"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4.25" customHeight="1"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4.25" customHeight="1"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4.25" customHeight="1"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4.25" customHeight="1"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4.25" customHeight="1"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4.25" customHeight="1"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4.25" customHeight="1"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4.25" customHeight="1"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4.25" customHeight="1"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4.25" customHeight="1"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4.25" customHeight="1"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4.25" customHeight="1"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4.25" customHeight="1"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4.25" customHeight="1"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4.25" customHeight="1"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4.25" customHeight="1"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4.25" customHeight="1"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4.25" customHeight="1"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4.25" customHeight="1"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4.25" customHeight="1"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4.25" customHeight="1"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4.25" customHeight="1"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4.25" customHeight="1"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4.25" customHeight="1"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4.25" customHeight="1"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4.25" customHeight="1"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4.25" customHeight="1"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4.25" customHeight="1"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4.25" customHeight="1"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4.25" customHeight="1"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4.25" customHeight="1"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4.25" customHeight="1"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4.25" customHeight="1"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4.25" customHeight="1"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4.25" customHeight="1"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4.25" customHeight="1"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4.25" customHeight="1"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4.25" customHeight="1"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4.25" customHeight="1"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4.25" customHeight="1"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4.25" customHeight="1"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4.25" customHeight="1"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4.25" customHeight="1"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4.25" customHeight="1"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4.25" customHeight="1"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4.25" customHeight="1"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4.25" customHeight="1"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4.25" customHeight="1"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4.25" customHeight="1"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4.25" customHeight="1"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4.25" customHeight="1"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4.25" customHeight="1"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4.25" customHeight="1"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4.25" customHeight="1"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hyperlinks>
    <hyperlink r:id="rId1" location="gid=0" ref="B39"/>
  </hyperlinks>
  <printOptions/>
  <pageMargins bottom="0.75" footer="0.0" header="0.0" left="0.7" right="0.7" top="0.75"/>
  <pageSetup paperSize="9" orientation="portrait"/>
  <drawing r:id="rId2"/>
</worksheet>
</file>